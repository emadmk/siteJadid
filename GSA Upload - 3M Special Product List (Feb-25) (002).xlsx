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>
    <definedName hidden="1" localSheetId="0" name="_xlnm._FilterDatabase">Sheet1!$A$2:$BF$67</definedName>
  </definedNames>
  <calcPr/>
</workbook>
</file>

<file path=xl/sharedStrings.xml><?xml version="1.0" encoding="utf-8"?>
<sst xmlns="http://schemas.openxmlformats.org/spreadsheetml/2006/main" count="1358" uniqueCount="480">
  <si>
    <t>Base Product or Accessory</t>
  </si>
  <si>
    <t>Manufacturer Information</t>
  </si>
  <si>
    <t>Vendor Part Number</t>
  </si>
  <si>
    <t>Special Item Number</t>
  </si>
  <si>
    <t>Product Information</t>
  </si>
  <si>
    <t>Unit of Measure</t>
  </si>
  <si>
    <t>Quantity Per Pack</t>
  </si>
  <si>
    <t>Commercial Price / 
Manufacturer's Suggested Retail Price</t>
  </si>
  <si>
    <t>Most Favored Customer</t>
  </si>
  <si>
    <t>Price Proposal</t>
  </si>
  <si>
    <t>Country of Origin</t>
  </si>
  <si>
    <t>Delivery Information</t>
  </si>
  <si>
    <t>National Stock Number</t>
  </si>
  <si>
    <t>UPC</t>
  </si>
  <si>
    <t>United Nations Standard Products and Services Code</t>
  </si>
  <si>
    <t>Temporary Price Reduction (TPR)</t>
  </si>
  <si>
    <t>Photo File References</t>
  </si>
  <si>
    <t>Warranty Duration</t>
  </si>
  <si>
    <t>Product Dimensions</t>
  </si>
  <si>
    <t>Product Information / Categorization</t>
  </si>
  <si>
    <t>Dealer Markup</t>
  </si>
  <si>
    <t>UPC - STYLE</t>
  </si>
  <si>
    <t>item_type</t>
  </si>
  <si>
    <t>manufacturer</t>
  </si>
  <si>
    <t>manufacturer_part_number</t>
  </si>
  <si>
    <t>vendor_part_number</t>
  </si>
  <si>
    <t>sin</t>
  </si>
  <si>
    <t>item_name</t>
  </si>
  <si>
    <t>item_description</t>
  </si>
  <si>
    <t>recycled_content_percent</t>
  </si>
  <si>
    <t>uom</t>
  </si>
  <si>
    <t>quantity_per_pack</t>
  </si>
  <si>
    <t>quantity_unit_uom</t>
  </si>
  <si>
    <t>commercial_price</t>
  </si>
  <si>
    <t>mfc_name</t>
  </si>
  <si>
    <t>mfc_price</t>
  </si>
  <si>
    <t>Action</t>
  </si>
  <si>
    <t>Sup Cost</t>
  </si>
  <si>
    <t>GM</t>
  </si>
  <si>
    <t>govt_price_no_fee</t>
  </si>
  <si>
    <t>govt_price_with_fee</t>
  </si>
  <si>
    <t>country_of_origin</t>
  </si>
  <si>
    <t>delivery_days</t>
  </si>
  <si>
    <t>lead_time_code</t>
  </si>
  <si>
    <t>fob_us</t>
  </si>
  <si>
    <t>fob_ak</t>
  </si>
  <si>
    <t>fob_hi</t>
  </si>
  <si>
    <t>fob_pr</t>
  </si>
  <si>
    <t>nsn</t>
  </si>
  <si>
    <t>upc</t>
  </si>
  <si>
    <t>unspsc</t>
  </si>
  <si>
    <t>sale_price_with_fee</t>
  </si>
  <si>
    <t>start_date</t>
  </si>
  <si>
    <t>stop_date</t>
  </si>
  <si>
    <t>default_photo</t>
  </si>
  <si>
    <t>photo_2</t>
  </si>
  <si>
    <t>photo_3</t>
  </si>
  <si>
    <t>photo_4</t>
  </si>
  <si>
    <t>product_url</t>
  </si>
  <si>
    <t>warranty_period</t>
  </si>
  <si>
    <t>warranty_unit_of_time</t>
  </si>
  <si>
    <t>length</t>
  </si>
  <si>
    <t>width</t>
  </si>
  <si>
    <t>height</t>
  </si>
  <si>
    <t>physical_uom</t>
  </si>
  <si>
    <t>weight_lbs</t>
  </si>
  <si>
    <t>product_info_code</t>
  </si>
  <si>
    <t>url_508</t>
  </si>
  <si>
    <t>hazmat</t>
  </si>
  <si>
    <t>dealer_cost</t>
  </si>
  <si>
    <t>mfc_markup_percentage</t>
  </si>
  <si>
    <t>govt_markup_percentage</t>
  </si>
  <si>
    <t>B</t>
  </si>
  <si>
    <t>3M</t>
  </si>
  <si>
    <t>3M-7100248306</t>
  </si>
  <si>
    <t>3M™ Impact Stripping Tape 528, Tan, 82 mil</t>
  </si>
  <si>
    <t>3M™ Impact Stripping Tape 528, Tan, 82 mil, Roll, Config</t>
  </si>
  <si>
    <t>Roll</t>
  </si>
  <si>
    <t>CA</t>
  </si>
  <si>
    <t>ADD Mod</t>
  </si>
  <si>
    <t>US</t>
  </si>
  <si>
    <t>AE</t>
  </si>
  <si>
    <t>O</t>
  </si>
  <si>
    <t>ADA 3M Photos\7100248306.jpg</t>
  </si>
  <si>
    <t>DA</t>
  </si>
  <si>
    <t>3M-7100044445</t>
  </si>
  <si>
    <t>332510C</t>
  </si>
  <si>
    <t>3M Xtract™ Cubitron™ II Paper Disc 732U, 6"x NH</t>
  </si>
  <si>
    <t>3M Xtract™ Cubitron™ II Paper Disc 732U, 80+ C-weight, 6 in x NH, Die 600LG, 50/Carton, 250 ea/Case</t>
  </si>
  <si>
    <t>Each</t>
  </si>
  <si>
    <t>EA</t>
  </si>
  <si>
    <t>00051125868525</t>
  </si>
  <si>
    <t>ADA 3M Photos\7100044445.jpg</t>
  </si>
  <si>
    <t>3M-7100044446</t>
  </si>
  <si>
    <t>3M Xtract™ Cubitron™ II Paper Disc 732U, 5"x NH</t>
  </si>
  <si>
    <t>3M Xtract™ Cubitron™ II Paper Disc 732U, 120+ C-weight, 5 in x NH, Die 500LG, 50/Carton, 250 ea/Case</t>
  </si>
  <si>
    <t>00051125868518</t>
  </si>
  <si>
    <t>ADA 3M Photos\7100044446.jpg</t>
  </si>
  <si>
    <t>3M-7100044448</t>
  </si>
  <si>
    <t>3M Xtract™ Cubitron™ II Paper Disc 732U, 80+ C-weight, 5 in x NH, Die 500LG, 50/Carton, 250 ea/Case</t>
  </si>
  <si>
    <t>00051125868501</t>
  </si>
  <si>
    <t>ADA 3M Photos\7100044448.jpg</t>
  </si>
  <si>
    <t>3M-7100044449</t>
  </si>
  <si>
    <t>3M Xtract™ Cubitron™ II Paper Disc 732U, 120+ C-weight, 6 in x NH, Die 600LG, 50/Carton, 250 ea/Case</t>
  </si>
  <si>
    <t>00051125868532</t>
  </si>
  <si>
    <t>ADA 3M Photos\7100044449.jpg</t>
  </si>
  <si>
    <t>3M-7100066678</t>
  </si>
  <si>
    <t>3M Xtract™ Cubitron™ II Paper Disc 732U, 180+ C-weight, 5 in x NH, Die 500LG, 50/Carton, 250 ea/Case</t>
  </si>
  <si>
    <t>00076308642679</t>
  </si>
  <si>
    <t>ADA 3M Photos\7100066678.jpg</t>
  </si>
  <si>
    <t>3M-7100066679</t>
  </si>
  <si>
    <t>3M Xtract™ Cubitron™ II Paper Disc 732U, 180+ C-weight, 6 in x NH, Die 600LG, 50/Carton, 250 ea/Case</t>
  </si>
  <si>
    <t>00076308642686</t>
  </si>
  <si>
    <t>ADA 3M Photos\7100066679.jpg</t>
  </si>
  <si>
    <t>3M-7100066702</t>
  </si>
  <si>
    <t>3M Xtract™ Cubitron™ II Paper Disc 732U, 220+ C-weight, 6 in x NH, Die 600LG, 50/Carton, 250 ea/Case</t>
  </si>
  <si>
    <t>00076308642747</t>
  </si>
  <si>
    <t>ADA 3M Photos\7100066702.jpg</t>
  </si>
  <si>
    <t>3M-7100077622</t>
  </si>
  <si>
    <t>3M Xtract™ Film Disc 360L, P320 3MIL, 6",Die 600LG</t>
  </si>
  <si>
    <t>3M Xtract™ Film Disc 360L, P320 3MIL, 6 in, Die 600LG, 100/Carton, 500 ea/Case</t>
  </si>
  <si>
    <t>00051141208015</t>
  </si>
  <si>
    <t>ADA 3M Photos\7100077622.jpg</t>
  </si>
  <si>
    <t>3M-7100268547</t>
  </si>
  <si>
    <t>3M™ Cubitron™ II Hookit™ Paper Disc 732U, 3"x NH</t>
  </si>
  <si>
    <t>3M™ Cubitron™ II Hookit™ Paper Disc 732U, 120+ C-weight, 3 in x NH, Die 300DS</t>
  </si>
  <si>
    <t>Case</t>
  </si>
  <si>
    <t>00638060603482</t>
  </si>
  <si>
    <t>ADA 3M Photos\7100268547.jpg</t>
  </si>
  <si>
    <t>3M-7100268548</t>
  </si>
  <si>
    <t>3M™ Cubitron™ II Hookit™ Paper Disc 732U, 180+ C-weight, 3 in x NH, Die 300DS</t>
  </si>
  <si>
    <t> 00638060603499</t>
  </si>
  <si>
    <t>ADA 3M Photos\7100268548.jpg</t>
  </si>
  <si>
    <t>3M-7100268549</t>
  </si>
  <si>
    <t>3M™ Cubitron™ II Hookit™ Paper Disc 732U, 220+ C-weight, 3 in x NH, Die 300DS</t>
  </si>
  <si>
    <t>00638060603505</t>
  </si>
  <si>
    <t>ADA 3M Photos\7100268549.jpg</t>
  </si>
  <si>
    <t>3M-7000088514</t>
  </si>
  <si>
    <t>3M™ Paint Masking Tape 231/231A, 48mm x 55m, 7.6mm</t>
  </si>
  <si>
    <t>3M™ Paint Masking Tape 231/231A, Tan, 24 mm x 55 m, 7.6 mil, 36 Rolls/Case</t>
  </si>
  <si>
    <t>0002120003777</t>
  </si>
  <si>
    <t>ADA 3M Photos\7000088514.jpg</t>
  </si>
  <si>
    <t>60.14 yd</t>
  </si>
  <si>
    <t>0.94 in</t>
  </si>
  <si>
    <t>3M-7000088516</t>
  </si>
  <si>
    <t>3M™ Paint Masking Tape 231/231A, Tan, 48 mm x 55 m, 7.6 mil, 24 Rolls/Case</t>
  </si>
  <si>
    <t>05010027822696</t>
  </si>
  <si>
    <t>ADA 3M Photos\7000088516.jpg</t>
  </si>
  <si>
    <t>1.88 in</t>
  </si>
  <si>
    <t>3M-7000088517</t>
  </si>
  <si>
    <t>3M™ Paint Masking Tape 231/231A, 72mm x 55m, 7.6mm</t>
  </si>
  <si>
    <t>3M™ Paint Masking Tape 231/231A, Tan, 72 mm x 55 m, 7.6 mil, 12 Rolls/Case</t>
  </si>
  <si>
    <t>7510-01-371-3235</t>
  </si>
  <si>
    <t>50021200049366</t>
  </si>
  <si>
    <t>ADA 3M Photos\7000088517.jpg</t>
  </si>
  <si>
    <t>2.83 in</t>
  </si>
  <si>
    <t>3M-7100045070</t>
  </si>
  <si>
    <t>3M Xtract™ Cubitron™ II Film Disc 775L, 80+ 3mm,5"</t>
  </si>
  <si>
    <t>3M Xtract Cubitron II Film Disc 775L, 80+, 5 in, Die 500LG, 50/Carton, 250 ea/Case</t>
  </si>
  <si>
    <t>ADA 3M Photos\7100045070.jpg</t>
  </si>
  <si>
    <t>ADA 3M Photos\7100045070-2.jpg</t>
  </si>
  <si>
    <t>3M-7100045071</t>
  </si>
  <si>
    <t>3M Xtract™ Cubitron™ II Film Disc 775L,120+ 3mm,5"</t>
  </si>
  <si>
    <t>3M Xtract Cubitron II Film Disc 775L, 120+, 5 in, Die 500LG, 50/Carton, 250 ea/Case</t>
  </si>
  <si>
    <t>ADA 3M Photos\7100045071.jpg</t>
  </si>
  <si>
    <t>ADA 3M Photos\7100045071-2.jpg</t>
  </si>
  <si>
    <t>3M-7100045072</t>
  </si>
  <si>
    <t>3M Xtract™ Cubitron™ II Film Disc 775L, 80+ 3mm,6"</t>
  </si>
  <si>
    <t>3M Xtract™ Cubitron™ II Film Disc 775L, 80+ 3MIL, 6 in, Die 600LG, 50/Carton, 250 ea/Case</t>
  </si>
  <si>
    <t>5345-01-701-4730</t>
  </si>
  <si>
    <t>00051125868242</t>
  </si>
  <si>
    <t>ADA 3M Photos\7100045072.jpg</t>
  </si>
  <si>
    <t>ADA 3M Photos\7100045072-2.jpg</t>
  </si>
  <si>
    <t>3M-7100045073</t>
  </si>
  <si>
    <t>3M Xtract™ Cubitron™ II Film Disc 775L,120+ 3mm,6"</t>
  </si>
  <si>
    <t>3M Xtract Cubitron II Film Disc 775L, 120+, 6 in, Die 600LG, 50/Carton, 250 ea/Case</t>
  </si>
  <si>
    <t>ADA 3M Photos\7100045073.jpg</t>
  </si>
  <si>
    <t>ADA 3M Photos\7100045073-2.jpg</t>
  </si>
  <si>
    <t>3M-7100053630</t>
  </si>
  <si>
    <t>3M™ Aluminum Foil Tape 425, Silver, 2"x 60yd,4.6mm</t>
  </si>
  <si>
    <t>3M™ Aluminum Foil Tape 425, Silver, 2 in x 60 yd, 4.6 mil, 24 Roll/Case</t>
  </si>
  <si>
    <t>7510-01-043-5026</t>
  </si>
  <si>
    <t>00051125853118</t>
  </si>
  <si>
    <t>ADA 3M Photos\7100053630.jpg</t>
  </si>
  <si>
    <t>60 yd</t>
  </si>
  <si>
    <t>2 in</t>
  </si>
  <si>
    <t>3M-7100053644</t>
  </si>
  <si>
    <t>3M™ Aluminum Foil Tape 425, Silver, 3"x 60yd,4.6mm</t>
  </si>
  <si>
    <t>3M™ Aluminum Foil Tape 425, Silver, 3 in x 60 yd, 4.6 mil, 12 Roll/Case</t>
  </si>
  <si>
    <t>7510-01-537-8040</t>
  </si>
  <si>
    <t>00051125853125</t>
  </si>
  <si>
    <t>ADA 3M Photos\7100053644.jpg</t>
  </si>
  <si>
    <t>3 in</t>
  </si>
  <si>
    <t>3M-7100053741</t>
  </si>
  <si>
    <t>3M™ Aluminum Foil Tape 425, Silver, 1"x 60yd,4.6mm</t>
  </si>
  <si>
    <t>3M™ Aluminum Foil Tape 425, Silver, 1 in x 60 yd, 4.6 mil, 36 Roll/Case</t>
  </si>
  <si>
    <t>00051125853880</t>
  </si>
  <si>
    <t>ADA 3M Photos\7100053741.jpg</t>
  </si>
  <si>
    <t>1 in</t>
  </si>
  <si>
    <t>3M-7100064177</t>
  </si>
  <si>
    <t>3M Xtract Cubitron II Film Disc 775L, 180+, 5"</t>
  </si>
  <si>
    <t>3M Xtract Cubitron II Film Disc 775L, 180+, 5 in, Die 500LG, 50/Carton, 250 ea/Case</t>
  </si>
  <si>
    <t>ADA 3M Photos\7100064177.jpg</t>
  </si>
  <si>
    <t>ADA 3M Photos\7100064177-2.jpg</t>
  </si>
  <si>
    <t>3M-7100064178</t>
  </si>
  <si>
    <t>3M Xtract Cubitron II Film Disc 775L, 180+, 6"</t>
  </si>
  <si>
    <t>3M Xtract Cubitron II Film Disc 775L, 180+, 6 in, Die 600LG, 50/Carton, 250 ea/Case</t>
  </si>
  <si>
    <t>ADA 3M Photos\7100064178.jpeg</t>
  </si>
  <si>
    <t>3M-7100064270</t>
  </si>
  <si>
    <t>3M Xtract Cubitron II Film Disc 775L, 220+, 5"</t>
  </si>
  <si>
    <t>3M Xtract Cubitron II Film Disc 775L, 220+, 5 in, Die 500LG, 50/Carton, 250 ea/Case</t>
  </si>
  <si>
    <t>ADA 3M Photos\7100064270.jpg</t>
  </si>
  <si>
    <t>3M-7100141692</t>
  </si>
  <si>
    <t>3M Xtract™ Cubitron™ II Film Disc 775L, 320+ 3mm</t>
  </si>
  <si>
    <t>3M Xtract™ Cubitron™ II Film Disc 775L, 320+ 3MIL, 6 in, Die 600LG, 50/Carton, 250 ea/Case</t>
  </si>
  <si>
    <t>00076308470821</t>
  </si>
  <si>
    <t>ADA 3M Photos\7100141692.jpg</t>
  </si>
  <si>
    <t>3M-7100145363</t>
  </si>
  <si>
    <t>3M Xtract™ Cubitron™ II Film Disc 775L, 320+ 3MIL, 5 in, Die 500LG, 50/Carton, 250 ea/Case</t>
  </si>
  <si>
    <t>5345-01-701-4450</t>
  </si>
  <si>
    <t>00076308470814</t>
  </si>
  <si>
    <t>ADA 3M Photos\7100145363jpg</t>
  </si>
  <si>
    <t>3M-7000002041</t>
  </si>
  <si>
    <t>3M™ Multi Gas/Vapor Cartridge/Filter 60926, P100</t>
  </si>
  <si>
    <t>3M™ Multi Gas/Vapor Cartridge/Filter 60926, P100 60 EA/Case</t>
  </si>
  <si>
    <t>Pack</t>
  </si>
  <si>
    <t>4240-01-455-7370</t>
  </si>
  <si>
    <t>50051138541878</t>
  </si>
  <si>
    <t>ADA 3M Photos\7000002041.jpg</t>
  </si>
  <si>
    <t>ADA 3M Photos\7000002041-2.jpg</t>
  </si>
  <si>
    <t>3M-7000051991</t>
  </si>
  <si>
    <t xml:space="preserve">3M™ Particulate Filter 2091/07000(AAD), P100 </t>
  </si>
  <si>
    <t>3M™ Particulate Filter 2091/07000(AAD), P100 100 EA/Case</t>
  </si>
  <si>
    <t>4240-01-320-1954</t>
  </si>
  <si>
    <t> 50051131070009</t>
  </si>
  <si>
    <t>ADA 3M Photos\7000051991.jpg</t>
  </si>
  <si>
    <t>3M-7100322586</t>
  </si>
  <si>
    <t>3M™ Full Facepiece Reusable Respirator 7800S-M</t>
  </si>
  <si>
    <t>3M™ Full Facepiece Reusable Respirator 7800S-M, Medium, Silicone, 1 EA/Case</t>
  </si>
  <si>
    <t>Japan</t>
  </si>
  <si>
    <t>4240-01-342-5239</t>
  </si>
  <si>
    <t>08887862975507</t>
  </si>
  <si>
    <t>ADA 3M Photos\7100322586.jpg</t>
  </si>
  <si>
    <t>ADA 3M Photos\7100322586-2.jpg</t>
  </si>
  <si>
    <t>3M-7000126199</t>
  </si>
  <si>
    <t>3M™ Full Facepiece Reusable Respirator 7800S-S</t>
  </si>
  <si>
    <t>3M™ Full Facepiece Reusable Respirator 7800S-S, Small, Silicone 1 EA/Case</t>
  </si>
  <si>
    <t>4240-01-314-2780</t>
  </si>
  <si>
    <t>00051138542573</t>
  </si>
  <si>
    <t>ADA 3M Photos\7000126199.jpg</t>
  </si>
  <si>
    <t>ADA 3M Photos\7000126199-2.jpg</t>
  </si>
  <si>
    <t>3M-7100325126</t>
  </si>
  <si>
    <t>3M™ Full Facepiece Reusable Respirator 7800S-L</t>
  </si>
  <si>
    <t>3M™ Full Facepiece Reusable Respirator 7800S-L, Large, Silicone 1 Each/Case</t>
  </si>
  <si>
    <t>4240-01-301-3200</t>
  </si>
  <si>
    <t>08887862977006</t>
  </si>
  <si>
    <t>ADA 3M Photos\7100325126.jpg</t>
  </si>
  <si>
    <t>ADA 3M Photos\7100325126-2.jpg</t>
  </si>
  <si>
    <t>3M-7000123905</t>
  </si>
  <si>
    <t>3M™ Performance Green Masking Tape 233+,96mm x 55m</t>
  </si>
  <si>
    <t>3M™ Performance Green Masking Tape 233+, 44608, 96 mm x 55 m, 8/Case</t>
  </si>
  <si>
    <t>RL</t>
  </si>
  <si>
    <t>Canada</t>
  </si>
  <si>
    <t>7510-01-504-5277</t>
  </si>
  <si>
    <t>00021200446085</t>
  </si>
  <si>
    <t>ADA 3M Photos\7000123905.jpg</t>
  </si>
  <si>
    <t>3.75 in</t>
  </si>
  <si>
    <t>3M-7000048806</t>
  </si>
  <si>
    <t>3M™ Performance Green Masking Tape 233+, 6mm x 55m</t>
  </si>
  <si>
    <t>3M™ Performance Green Masking Tape 233+, 26344, 6 mm x 55 m, 96/Case</t>
  </si>
  <si>
    <t>7510-01-504-5275</t>
  </si>
  <si>
    <t>00051131263444</t>
  </si>
  <si>
    <t>ADA 3M Photos\7000048806.jpg</t>
  </si>
  <si>
    <t>.25 in</t>
  </si>
  <si>
    <t>3M-7100006159</t>
  </si>
  <si>
    <t>3M™ Performance Green Masking Tape 233+,18mm x 55m</t>
  </si>
  <si>
    <t>3M™ Performance Green Masking Tape 233+, 26334, 18 mm x 55 m, 48/Case</t>
  </si>
  <si>
    <t>7510-01-504-5267</t>
  </si>
  <si>
    <t>00051131263345</t>
  </si>
  <si>
    <t>ADA 3M Photos\7100006159.jpg</t>
  </si>
  <si>
    <t>.7 in</t>
  </si>
  <si>
    <t>3M-7000123778</t>
  </si>
  <si>
    <t>3M™ Performance Green Masking Tape 233+, 3mm x 55m</t>
  </si>
  <si>
    <t>3M™ Performance Green Masking Tape 233+, 26343, 3 mm x 55 m, 12/Case</t>
  </si>
  <si>
    <t>7510-01-504-5274</t>
  </si>
  <si>
    <t>00051131263437</t>
  </si>
  <si>
    <t>ADA 3M Photos\7000123778.jpg</t>
  </si>
  <si>
    <t>.12 in</t>
  </si>
  <si>
    <t>3M-7000048805</t>
  </si>
  <si>
    <t>3M™ Performance Green Masking Tape 233+,48mm x 55m</t>
  </si>
  <si>
    <t>3M™ Performance Green Masking Tape 233+, 26340, 48 mm x 55 m, 12/Case</t>
  </si>
  <si>
    <t>7510-01-504-5278</t>
  </si>
  <si>
    <t>00051131263406</t>
  </si>
  <si>
    <t>ADA 3M Photos\7000048805.jpg</t>
  </si>
  <si>
    <t>1.49 in</t>
  </si>
  <si>
    <t>3M-7000028422</t>
  </si>
  <si>
    <t>3M™ Performance Green Masking Tape 233+, 46334, 18 mm x 55 m, 48/Case</t>
  </si>
  <si>
    <t>00051131463349</t>
  </si>
  <si>
    <t>ADA 3M Photos\7000028422.jpg</t>
  </si>
  <si>
    <t>.71 in</t>
  </si>
  <si>
    <t>3M-7000120534</t>
  </si>
  <si>
    <t>3M™ Performance Green Masking Tape 233+,36mm x 55m</t>
  </si>
  <si>
    <t>3M™ Performance Green Masking Tape 233+, 46338, 36 mm x 55 m, 24/Case</t>
  </si>
  <si>
    <t>00051131463387</t>
  </si>
  <si>
    <t>ADA 3M Photos\7000120534.jpg</t>
  </si>
  <si>
    <t>1.42 in</t>
  </si>
  <si>
    <t>3M-7100007214</t>
  </si>
  <si>
    <t>3M™ Performance Green Masking Tape 233+, 26338, 36 mm x 55 m, 16/Case</t>
  </si>
  <si>
    <t>7510-01-504-5272</t>
  </si>
  <si>
    <t>00051131263383</t>
  </si>
  <si>
    <t>ADA 3M Photos\7100007214.jpg</t>
  </si>
  <si>
    <t>3M-7000123776</t>
  </si>
  <si>
    <t>3M™ Performance Green Masking Tape 233+,72mm x 55m</t>
  </si>
  <si>
    <t>3M™ Performance Green Masking Tape 233+, 26341, 72 mm x 55 m, 8/Case</t>
  </si>
  <si>
    <t>7510-01-504-5268</t>
  </si>
  <si>
    <t>00051131263413</t>
  </si>
  <si>
    <t>ADA 3M Photos\7000123776.jpg</t>
  </si>
  <si>
    <t>3M-7000048803</t>
  </si>
  <si>
    <t>3M™ Performance Green Masking Tape 233+,12mm x 55m</t>
  </si>
  <si>
    <t>3M™ Performance Green Masking Tape 233+, 26332, 12 mm x 55 m, 48/Case</t>
  </si>
  <si>
    <t>7510-01-504-5276</t>
  </si>
  <si>
    <t>00051131263321</t>
  </si>
  <si>
    <t>ADA 3M Photos\7000048803.jpg</t>
  </si>
  <si>
    <t>.47 in</t>
  </si>
  <si>
    <t>3M-7000048804</t>
  </si>
  <si>
    <t>3M™ Performance Green Masking Tape 233+,24mm x 55m</t>
  </si>
  <si>
    <t>3M™ Performance Green Masking Tape 233+, 26336, 24 mm x 55 m, 24/Case</t>
  </si>
  <si>
    <t>7510-01-504-5271</t>
  </si>
  <si>
    <t>00051131263369</t>
  </si>
  <si>
    <t>ADA 3M Photos\7000048804.jpg</t>
  </si>
  <si>
    <t>.95 in</t>
  </si>
  <si>
    <t>MT20H682FB-47N CY</t>
  </si>
  <si>
    <t>3M-MT20H682FB-47N-CY</t>
  </si>
  <si>
    <t>3M™ PELTOR™ ComTac™ VI NIB Headset Single DL, CY</t>
  </si>
  <si>
    <t>3M™ PELTOR™ ComTac™ VI NIB Headset MT20H682FB-47N CY, Single DL, Coyote Brown, Headband w/ARC, 10 ea/Case, Restricted</t>
  </si>
  <si>
    <t>00076308944148</t>
  </si>
  <si>
    <t>ADA 3M Photos\MT20H682FB-47N CY.jpg</t>
  </si>
  <si>
    <t>ADA 3M Photos\MT20H682FB-47N CY-2.jpg</t>
  </si>
  <si>
    <t>MT20H682FB-19N CY</t>
  </si>
  <si>
    <t>3M-MT20H682FB-19N-CY</t>
  </si>
  <si>
    <t xml:space="preserve">3M™ PELTOR™ ComTac™ VI NIB Headset Dual DL, CY </t>
  </si>
  <si>
    <t>3M™ PELTOR™ ComTac™ VI NIB Headset MT20H682FB-19N CY, Dual DL, Coyote Brown, Headband w/ARC, 10 ea/Case, Restricted</t>
  </si>
  <si>
    <t>00076308944117</t>
  </si>
  <si>
    <t>ADA 3M Photos\MT20H682FB-19N CY.jpg</t>
  </si>
  <si>
    <t>MT20H682FB-09N CY</t>
  </si>
  <si>
    <t>3M-MT20H682FB-09N-CY</t>
  </si>
  <si>
    <t>3M™ PELTOR™ ComTac™ VI NIB Hearing Defender, CY</t>
  </si>
  <si>
    <t>3M™ PELTOR™ ComTac™ VI NIB Hearing Defender MT20H682FB-09N CY, Coyote Brown, Headband w/ARC, 10 ea/Case, Restricted</t>
  </si>
  <si>
    <t>00076308944056</t>
  </si>
  <si>
    <t>ADA 3M Photos\MT20H682FB-09N CY.jpg</t>
  </si>
  <si>
    <t>MT20H682FB-47N GN</t>
  </si>
  <si>
    <t>3M-MT20H682FB-47N-GN</t>
  </si>
  <si>
    <t>3M™ PELTOR™ ComTac™ VI NIB Headset Single DL,Green</t>
  </si>
  <si>
    <t>3M™ PELTOR™ ComTac™ VI NIB Headset MT20H682FB-47N GN, Single DL, Green, Headband w/ARC, 10 ea/Case, Restricted</t>
  </si>
  <si>
    <t>00076308944124</t>
  </si>
  <si>
    <t>ADA 3M Photos\MT20H682FB-47N GN.jpg</t>
  </si>
  <si>
    <t>MT16H210F-479-SV</t>
  </si>
  <si>
    <t>3M-MT16H210F-479-SV</t>
  </si>
  <si>
    <t>3M™ PELTOR™ Tactical Sport™ , Electronic Headset,</t>
  </si>
  <si>
    <t>3M™ PELTOR™ Tactical Sport™ MT16H210F-479-SV, Electronic Headset, Foldable Headband, Black, 10 Each/Case</t>
  </si>
  <si>
    <t>07318640045286</t>
  </si>
  <si>
    <t>ADA 3M Photos\MT16H210F-479-SV.jpg</t>
  </si>
  <si>
    <t>MT73H7A4D10NA</t>
  </si>
  <si>
    <t>3M-MT73H7A4D10NA</t>
  </si>
  <si>
    <t>3M™ PELTOR™ WS™ LiteCom PRO III Headset - Headband</t>
  </si>
  <si>
    <t>5965-01-718-2785</t>
  </si>
  <si>
    <t>07318640067103</t>
  </si>
  <si>
    <t>ADA 3M Photos\MT73H7A4D10NA.jpg</t>
  </si>
  <si>
    <t>MT20H682FB-09N GN</t>
  </si>
  <si>
    <t>3M-MT20H682FB-09N-GN</t>
  </si>
  <si>
    <t>3M™ PELTOR™ ComTac™ VI NIB Hearing Defender Green</t>
  </si>
  <si>
    <t>3M™ PELTOR™ ComTac™ VI NIB Hearing Defender MT20H682FB-09N GN, Green, Headband w/ARC, 10 ea/Case, Restricted</t>
  </si>
  <si>
    <t>00076308944032</t>
  </si>
  <si>
    <t>ADA 3M Photos\MT20H682FB-09N GN.jpg</t>
  </si>
  <si>
    <t>3M-7012815817</t>
  </si>
  <si>
    <t>3M™ DBI-SALA® ExoFit™ XP Comfort Arc Harness  XL</t>
  </si>
  <si>
    <t>3M™ DBI-SALA® ExoFit™ XP Comfort Arc Flash Safety Harness 1110892, X-Large</t>
  </si>
  <si>
    <t>4810-01-281-5817</t>
  </si>
  <si>
    <t>00840779009763</t>
  </si>
  <si>
    <t>ADA 3M Photos\7012815817.jpg</t>
  </si>
  <si>
    <t>3M-7012815815</t>
  </si>
  <si>
    <t>3M™ DBI-SALA® ExoFit™ XP Comfort Arc Harness, M</t>
  </si>
  <si>
    <t>3M™ DBI-SALA® ExoFit™ XP Comfort Arc Flash Safety Harness 1110890, Medium</t>
  </si>
  <si>
    <t>3040-01-281-5815</t>
  </si>
  <si>
    <t>00840779009749</t>
  </si>
  <si>
    <t>ADA 3M Photos\7012815815.jpg</t>
  </si>
  <si>
    <t>3M-7012816115</t>
  </si>
  <si>
    <t>3M™ DBI-SALA® ExoFit™ X300 Comfort Vest Harness, L</t>
  </si>
  <si>
    <t>3M™ DBI-SALA® ExoFit™ X300 Comfort Vest Safety Harness 1140129, Large</t>
  </si>
  <si>
    <t>6625-01-281-6115</t>
  </si>
  <si>
    <t>00648250163245</t>
  </si>
  <si>
    <t>ADA 3M Photos\7012816115.jpg</t>
  </si>
  <si>
    <t>ADA 3M Photos\7012816115-2.jpg</t>
  </si>
  <si>
    <t>3M-7012816112</t>
  </si>
  <si>
    <t>3M™ DBI-SALA® ExoFit™ X300 Comfort Vest Harness, M</t>
  </si>
  <si>
    <t>3M™ DBI-SALA® ExoFit™ X300 Comfort Vest Safety Harness 1113004, Medium</t>
  </si>
  <si>
    <t>5935-01-281-6112</t>
  </si>
  <si>
    <t>00648250163238</t>
  </si>
  <si>
    <t>ADA 3M Photos\7012816112.jpg</t>
  </si>
  <si>
    <t>ADA 3M Photos\7012816112-2.jpg</t>
  </si>
  <si>
    <t>3M-7012818032</t>
  </si>
  <si>
    <t>3M™ DBI-SALA® ExoFit™ X300 X-Style Vest Harness, M/L</t>
  </si>
  <si>
    <t>3M™ DBI-SALA® ExoFit™ X300 X-Style Vest Safety Harness, 1403199 Medium/Large</t>
  </si>
  <si>
    <t>4810-01-281-8032</t>
  </si>
  <si>
    <t>00648250216194</t>
  </si>
  <si>
    <t>ADA 3M Photos\7012818032.jpg</t>
  </si>
  <si>
    <t>ADA 3M Photos\7012818032-2.jpg</t>
  </si>
  <si>
    <t>3M-7012815816</t>
  </si>
  <si>
    <t>3M™ DBI-SALA® ExoFit™ XP Comfort Arc Harness. L</t>
  </si>
  <si>
    <t>3M™ DBI-SALA® ExoFit™ XP Comfort Arc Flash Safety Harness 1110891, Large</t>
  </si>
  <si>
    <t>3040-01-281-5816</t>
  </si>
  <si>
    <t>00840779009756</t>
  </si>
  <si>
    <t>ADA 3M Photos\7012815816.jpg</t>
  </si>
  <si>
    <t>3M-7012815818</t>
  </si>
  <si>
    <t>3M™ DBI-SALA® ExoFit™ XP Comfort Arc Harness. S</t>
  </si>
  <si>
    <t>3M™ DBI-SALA® ExoFit™ XP Comfort Arc Flash Safety Harness 1110893, Small</t>
  </si>
  <si>
    <t>3010-01-281-5818</t>
  </si>
  <si>
    <t>00840779112630</t>
  </si>
  <si>
    <t>ADA 3M Photos\7012815818.jpg</t>
  </si>
  <si>
    <t>3M-7012815819</t>
  </si>
  <si>
    <t>3M™ DBI-SALA® ExoFit™ XP Comfort Arc Harness. 2X</t>
  </si>
  <si>
    <t>3M™ DBI-SALA® ExoFit™ XP Comfort Arc Flash Safety Harness 1110894, 2X</t>
  </si>
  <si>
    <t>5905-01-281-5819</t>
  </si>
  <si>
    <t>00840779032822</t>
  </si>
  <si>
    <t>ADA 3M Photos\7012815819.jpg</t>
  </si>
  <si>
    <t>3M-7100237065</t>
  </si>
  <si>
    <t>3M™ DBI-SALA® ExoFit™ X300 Comfort Vest Harness XL</t>
  </si>
  <si>
    <t>3M™ DBI-SALA® ExoFit™ X300 Comfort Vest Safety Harness 1113010, X-Large</t>
  </si>
  <si>
    <t>00648250163252</t>
  </si>
  <si>
    <t>ADA 3M Photos\7100237065.jpg</t>
  </si>
  <si>
    <t>ADA 3M Photos\7100237065-2.jpg</t>
  </si>
  <si>
    <t>3M-7012816124</t>
  </si>
  <si>
    <t>3M™ DBI-SALA® ExoFit™ X300 Comfort Vest Harness,3X</t>
  </si>
  <si>
    <t>3M™ DBI-SALA® ExoFit™ X300 Comfort Vest Safety Harness 1113014, 3X</t>
  </si>
  <si>
    <t>5365-01-281-6124</t>
  </si>
  <si>
    <t>00840779034512</t>
  </si>
  <si>
    <t>ADA 3M Photos\7012816124.jpg</t>
  </si>
  <si>
    <t>ADA 3M Photos\7012816124-2.jpg</t>
  </si>
  <si>
    <t>3M-7012816521</t>
  </si>
  <si>
    <t>3M™ DBI-SALA® ExoFit™ X300 Comfort Vest Harness, S</t>
  </si>
  <si>
    <t>3M™ DBI-SALA® ExoFit™ X300 Comfort Vest Safety Harness 1140127, Small</t>
  </si>
  <si>
    <t>5330-01-281-6521</t>
  </si>
  <si>
    <t>00840779154739</t>
  </si>
  <si>
    <t>ADA 3M Photos\7012816521.jpg</t>
  </si>
  <si>
    <t>ADA 3M Photos\7012816521-2.jpg</t>
  </si>
  <si>
    <t>3M-7012816121</t>
  </si>
  <si>
    <t>3M™ DBI-SALA® ExoFit™ X300 Comfort Vest Harness,2X</t>
  </si>
  <si>
    <t>3M™ DBI-SALA® ExoFit™ X300 Comfort Vest Safety Harness 1113013, 2X</t>
  </si>
  <si>
    <t>5895-01-281-6121</t>
  </si>
  <si>
    <t>00840779034505</t>
  </si>
  <si>
    <t>ADA 3M Photos\7012816121.jpg</t>
  </si>
  <si>
    <t>ADA 3M Photos\7012816121-2.jpg</t>
  </si>
  <si>
    <t>3M-7012816107</t>
  </si>
  <si>
    <t>3M™ DBI-SALA® ExoFit™ X300 Comfort Vest Harness,XS</t>
  </si>
  <si>
    <t>3M™ DBI-SALA® ExoFit™ X300 Comfort Vest Safety Harness 1113000, X-Small</t>
  </si>
  <si>
    <t>5995-01-281-6107</t>
  </si>
  <si>
    <t>00648250163214</t>
  </si>
  <si>
    <t>ADA 3M Photos\7012816107.jpg</t>
  </si>
  <si>
    <t>ADA 3M Photos\7012816107-2.jpg</t>
  </si>
  <si>
    <t>3M-7012818030</t>
  </si>
  <si>
    <t>3M™ DBI-SALA® ExoFit™ X300 X-Style Vest Harn,XS/S</t>
  </si>
  <si>
    <t>3M™ DBI-SALA® ExoFit™ X300 X-Style Vest Safety Harness, 1403198 X-Small/Small</t>
  </si>
  <si>
    <t>4730-01-281-8030</t>
  </si>
  <si>
    <t>00648250216187</t>
  </si>
  <si>
    <t>ADA 3M Photos\7012818030.jpg</t>
  </si>
  <si>
    <t>ADA 3M Photos\7012818030-2.jpg</t>
  </si>
  <si>
    <t>MT14H418A-47 CY</t>
  </si>
  <si>
    <t>3M-MT14H418A-47-CY</t>
  </si>
  <si>
    <t>3M™ PELTOR™ ComTac™ VIII Single Comm Headset  CY</t>
  </si>
  <si>
    <t>3M™ PELTOR™ ComTac™ VIII Single Comm Headset MT14H418A-47 CY</t>
  </si>
  <si>
    <t>50068060856840</t>
  </si>
  <si>
    <t>TR-800-ECK</t>
  </si>
  <si>
    <t>3M-7100150926</t>
  </si>
  <si>
    <t>3M™ Versaflo™ Powered Air Purifying Respirator Kit</t>
  </si>
  <si>
    <t>3M™ Versaflo™ Powered Air Purifying Respirator Easy Clean Kit TR-800-ECK, 1 EA/Case</t>
  </si>
  <si>
    <t>00076308942496</t>
  </si>
  <si>
    <t>3M-7100021007</t>
  </si>
  <si>
    <t>3M™ Versaflo™ Organic Vapor/Acid Gas/HEPA Cartridge</t>
  </si>
  <si>
    <t>3M™ Versaflo™ Organic Vapor/Acid Gas/HEPA Cartridge TR-6530N, for TR-600/800 PAPR, 5 EA/Case</t>
  </si>
  <si>
    <t>50051131373629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</si>
</sst>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4">
    <font>
      <sz val="11.0"/>
      <color/>
      <name val="Arial"/>
      <scheme val="minor"/>
    </font>
    <font>
      <sz val="11.0"/>
      <color/>
      <name val="Aptos Narrow"/>
    </font>
    <font>
      <sz val="9.0"/>
      <name val="Arial"/>
    </font>
    <font>
      <sz val="11.0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3">
    <border/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shrinkToFit="0" wrapText="1"/>
    </xf>
    <xf borderId="1" fillId="0" fontId="1" numFmtId="0" xfId="0" applyAlignment="1" applyBorder="1" applyFont="1">
      <alignment shrinkToFit="0" wrapText="1"/>
    </xf>
    <xf borderId="1" fillId="0" fontId="1" numFmtId="0" xfId="0" applyAlignment="1" applyBorder="1" applyFont="1">
      <alignment horizontal="center" shrinkToFit="0" wrapText="1"/>
    </xf>
    <xf borderId="1" fillId="0" fontId="1" numFmtId="0" xfId="0" applyAlignment="1" applyBorder="1" applyFont="1">
      <alignment horizontal="center" shrinkToFit="0" vertical="center" wrapText="1"/>
    </xf>
    <xf borderId="1" fillId="0" fontId="1" numFmtId="49" xfId="0" applyAlignment="1" applyBorder="1" applyFont="1" applyNumberFormat="1">
      <alignment shrinkToFit="0" wrapText="1"/>
    </xf>
    <xf borderId="1" fillId="0" fontId="1" numFmtId="0" xfId="0" applyAlignment="1" applyBorder="1" applyFont="1">
      <alignment horizontal="left"/>
    </xf>
    <xf borderId="1" fillId="0" fontId="1" numFmtId="0" xfId="0" applyBorder="1" applyFont="1"/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vertical="center"/>
    </xf>
    <xf borderId="1" fillId="0" fontId="1" numFmtId="49" xfId="0" applyBorder="1" applyFont="1" applyNumberFormat="1"/>
    <xf borderId="0" fillId="0" fontId="1" numFmtId="0" xfId="0" applyAlignment="1" applyFont="1">
      <alignment horizontal="left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center"/>
    </xf>
    <xf borderId="0" fillId="0" fontId="1" numFmtId="2" xfId="0" applyAlignment="1" applyFont="1" applyNumberFormat="1">
      <alignment horizontal="center"/>
    </xf>
    <xf borderId="0" fillId="0" fontId="1" numFmtId="0" xfId="0" applyAlignment="1" applyFont="1">
      <alignment horizontal="center" vertical="center"/>
    </xf>
    <xf borderId="0" fillId="0" fontId="1" numFmtId="2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0" fillId="0" fontId="1" numFmtId="49" xfId="0" applyFont="1" applyNumberFormat="1"/>
    <xf borderId="0" fillId="0" fontId="2" numFmtId="49" xfId="0" applyFont="1" applyNumberFormat="1"/>
    <xf borderId="2" fillId="2" fontId="1" numFmtId="0" xfId="0" applyAlignment="1" applyBorder="1" applyFill="1" applyFont="1">
      <alignment horizontal="left"/>
    </xf>
    <xf borderId="0" fillId="0" fontId="3" numFmtId="49" xfId="0" applyFont="1" applyNumberFormat="1"/>
    <xf borderId="0" fillId="0" fontId="1" numFmtId="4" xfId="0" applyAlignment="1" applyFont="1" applyNumberFormat="1">
      <alignment horizontal="center"/>
    </xf>
    <xf borderId="0" fillId="0" fontId="1" numFmtId="4" xfId="0" applyAlignment="1" applyFont="1" applyNumberFormat="1">
      <alignment horizontal="center" vertical="center"/>
    </xf>
    <xf borderId="0" fillId="0" fontId="1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  <a:ln cap="flat" cmpd="sng" w="2540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9.0"/>
    <col customWidth="1" min="2" max="2" width="24.57"/>
    <col customWidth="1" min="3" max="3" width="24.14"/>
    <col customWidth="1" min="4" max="4" width="25.71"/>
    <col customWidth="1" min="5" max="5" width="22.43"/>
    <col customWidth="1" min="6" max="7" width="19.57"/>
    <col customWidth="1" min="8" max="8" width="90.14"/>
    <col customWidth="1" min="9" max="9" width="54.86"/>
    <col customWidth="1" min="10" max="10" width="23.57"/>
    <col customWidth="1" min="11" max="11" width="14.86"/>
    <col customWidth="1" min="12" max="12" width="17.29"/>
    <col customWidth="1" min="13" max="13" width="17.57"/>
    <col customWidth="1" min="14" max="14" width="32.0"/>
    <col customWidth="1" min="15" max="15" width="22.0"/>
    <col customWidth="1" min="16" max="16" width="9.57"/>
    <col customWidth="1" min="17" max="17" width="11.14"/>
    <col customWidth="1" min="18" max="18" width="8.57"/>
    <col customWidth="1" min="19" max="19" width="12.0"/>
    <col customWidth="1" min="20" max="20" width="18.86"/>
    <col customWidth="1" min="21" max="21" width="20.43"/>
    <col customWidth="1" min="22" max="22" width="9.14"/>
    <col customWidth="1" min="23" max="23" width="16.29"/>
    <col customWidth="1" min="24" max="24" width="19.0"/>
    <col customWidth="1" min="25" max="25" width="14.86"/>
    <col customWidth="1" min="26" max="27" width="6.86"/>
    <col customWidth="1" min="28" max="28" width="6.43"/>
    <col customWidth="1" min="29" max="29" width="6.57"/>
    <col customWidth="1" min="30" max="30" width="21.86"/>
    <col customWidth="1" min="31" max="31" width="15.14"/>
    <col customWidth="1" min="32" max="32" width="48.43"/>
    <col customWidth="1" min="33" max="33" width="30.43"/>
    <col customWidth="1" min="34" max="34" width="9.71"/>
    <col customWidth="1" min="35" max="35" width="9.57"/>
    <col customWidth="1" min="36" max="40" width="9.14"/>
    <col customWidth="1" min="41" max="41" width="37.14"/>
    <col customWidth="1" min="42" max="42" width="38.57"/>
    <col customWidth="1" min="43" max="43" width="15.0"/>
    <col customWidth="1" min="44" max="44" width="8.0"/>
    <col customWidth="1" min="45" max="45" width="11.14"/>
    <col customWidth="1" min="46" max="46" width="17.43"/>
    <col customWidth="1" min="47" max="47" width="20.57"/>
    <col customWidth="1" min="48" max="48" width="19.14"/>
    <col customWidth="1" min="49" max="49" width="8.14"/>
    <col customWidth="1" min="50" max="50" width="6.43"/>
    <col customWidth="1" min="51" max="51" width="13.43"/>
    <col customWidth="1" min="52" max="52" width="10.29"/>
    <col customWidth="1" min="53" max="53" width="33.86"/>
    <col customWidth="1" min="54" max="54" width="7.29"/>
    <col customWidth="1" min="55" max="55" width="7.57"/>
    <col customWidth="1" min="56" max="56" width="14.0"/>
    <col customWidth="1" min="57" max="57" width="23.0"/>
    <col customWidth="1" min="58" max="58" width="23.29"/>
  </cols>
  <sheetData>
    <row r="1" ht="14.25" customHeight="1">
      <c r="A1" s="1"/>
      <c r="B1" s="2" t="s">
        <v>0</v>
      </c>
      <c r="C1" s="2" t="s">
        <v>1</v>
      </c>
      <c r="D1" s="2"/>
      <c r="E1" s="2" t="s">
        <v>2</v>
      </c>
      <c r="F1" s="2" t="s">
        <v>3</v>
      </c>
      <c r="G1" s="2"/>
      <c r="H1" s="2" t="s">
        <v>4</v>
      </c>
      <c r="I1" s="2"/>
      <c r="J1" s="2"/>
      <c r="K1" s="3" t="s">
        <v>5</v>
      </c>
      <c r="L1" s="3" t="s">
        <v>6</v>
      </c>
      <c r="M1" s="3"/>
      <c r="N1" s="3" t="s">
        <v>7</v>
      </c>
      <c r="O1" s="2" t="s">
        <v>8</v>
      </c>
      <c r="P1" s="2"/>
      <c r="Q1" s="4"/>
      <c r="R1" s="4"/>
      <c r="S1" s="4"/>
      <c r="T1" s="4" t="s">
        <v>9</v>
      </c>
      <c r="U1" s="4"/>
      <c r="V1" s="4"/>
      <c r="W1" s="4" t="s">
        <v>10</v>
      </c>
      <c r="X1" s="4" t="s">
        <v>11</v>
      </c>
      <c r="Y1" s="4"/>
      <c r="Z1" s="4"/>
      <c r="AA1" s="4"/>
      <c r="AB1" s="4"/>
      <c r="AC1" s="4"/>
      <c r="AD1" s="2" t="s">
        <v>12</v>
      </c>
      <c r="AE1" s="5" t="s">
        <v>13</v>
      </c>
      <c r="AF1" s="2" t="s">
        <v>14</v>
      </c>
      <c r="AG1" s="2" t="s">
        <v>15</v>
      </c>
      <c r="AH1" s="2"/>
      <c r="AI1" s="2"/>
      <c r="AJ1" s="2"/>
      <c r="AK1" s="2"/>
      <c r="AL1" s="2"/>
      <c r="AM1" s="2"/>
      <c r="AN1" s="2"/>
      <c r="AO1" s="2" t="s">
        <v>16</v>
      </c>
      <c r="AP1" s="2"/>
      <c r="AQ1" s="2"/>
      <c r="AR1" s="2"/>
      <c r="AS1" s="2"/>
      <c r="AT1" s="2" t="s">
        <v>17</v>
      </c>
      <c r="AU1" s="2"/>
      <c r="AV1" s="2" t="s">
        <v>18</v>
      </c>
      <c r="AW1" s="2"/>
      <c r="AX1" s="2"/>
      <c r="AY1" s="2"/>
      <c r="AZ1" s="2"/>
      <c r="BA1" s="2" t="s">
        <v>19</v>
      </c>
      <c r="BB1" s="2"/>
      <c r="BC1" s="2"/>
      <c r="BD1" s="2" t="s">
        <v>20</v>
      </c>
      <c r="BE1" s="2"/>
      <c r="BF1" s="2"/>
    </row>
    <row r="2" ht="14.25" customHeight="1">
      <c r="A2" s="6" t="s">
        <v>21</v>
      </c>
      <c r="B2" s="7" t="s">
        <v>22</v>
      </c>
      <c r="C2" s="7" t="s">
        <v>23</v>
      </c>
      <c r="D2" s="7" t="s">
        <v>24</v>
      </c>
      <c r="E2" s="7" t="s">
        <v>25</v>
      </c>
      <c r="F2" s="7" t="s">
        <v>26</v>
      </c>
      <c r="G2" s="7"/>
      <c r="H2" s="7" t="s">
        <v>27</v>
      </c>
      <c r="I2" s="2" t="s">
        <v>28</v>
      </c>
      <c r="J2" s="7" t="s">
        <v>29</v>
      </c>
      <c r="K2" s="8" t="s">
        <v>30</v>
      </c>
      <c r="L2" s="8" t="s">
        <v>31</v>
      </c>
      <c r="M2" s="8" t="s">
        <v>32</v>
      </c>
      <c r="N2" s="8" t="s">
        <v>33</v>
      </c>
      <c r="O2" s="7" t="s">
        <v>34</v>
      </c>
      <c r="P2" s="7" t="s">
        <v>35</v>
      </c>
      <c r="Q2" s="9" t="s">
        <v>36</v>
      </c>
      <c r="R2" s="9" t="s">
        <v>37</v>
      </c>
      <c r="S2" s="9" t="s">
        <v>38</v>
      </c>
      <c r="T2" s="9" t="s">
        <v>39</v>
      </c>
      <c r="U2" s="9" t="s">
        <v>40</v>
      </c>
      <c r="V2" s="9"/>
      <c r="W2" s="9" t="s">
        <v>41</v>
      </c>
      <c r="X2" s="9" t="s">
        <v>42</v>
      </c>
      <c r="Y2" s="9" t="s">
        <v>43</v>
      </c>
      <c r="Z2" s="9" t="s">
        <v>44</v>
      </c>
      <c r="AA2" s="9" t="s">
        <v>45</v>
      </c>
      <c r="AB2" s="9" t="s">
        <v>46</v>
      </c>
      <c r="AC2" s="9" t="s">
        <v>47</v>
      </c>
      <c r="AD2" s="7" t="s">
        <v>48</v>
      </c>
      <c r="AE2" s="10" t="s">
        <v>49</v>
      </c>
      <c r="AF2" s="7" t="s">
        <v>50</v>
      </c>
      <c r="AG2" s="7" t="s">
        <v>51</v>
      </c>
      <c r="AH2" s="7" t="s">
        <v>52</v>
      </c>
      <c r="AI2" s="7" t="s">
        <v>53</v>
      </c>
      <c r="AJ2" s="7"/>
      <c r="AK2" s="7"/>
      <c r="AL2" s="7"/>
      <c r="AM2" s="7"/>
      <c r="AN2" s="7"/>
      <c r="AO2" s="7" t="s">
        <v>54</v>
      </c>
      <c r="AP2" s="7" t="s">
        <v>55</v>
      </c>
      <c r="AQ2" s="7" t="s">
        <v>56</v>
      </c>
      <c r="AR2" s="7" t="s">
        <v>57</v>
      </c>
      <c r="AS2" s="7" t="s">
        <v>58</v>
      </c>
      <c r="AT2" s="7" t="s">
        <v>59</v>
      </c>
      <c r="AU2" s="7" t="s">
        <v>60</v>
      </c>
      <c r="AV2" s="7" t="s">
        <v>61</v>
      </c>
      <c r="AW2" s="7" t="s">
        <v>62</v>
      </c>
      <c r="AX2" s="7" t="s">
        <v>63</v>
      </c>
      <c r="AY2" s="7" t="s">
        <v>64</v>
      </c>
      <c r="AZ2" s="7" t="s">
        <v>65</v>
      </c>
      <c r="BA2" s="7" t="s">
        <v>66</v>
      </c>
      <c r="BB2" s="7" t="s">
        <v>67</v>
      </c>
      <c r="BC2" s="7" t="s">
        <v>68</v>
      </c>
      <c r="BD2" s="7" t="s">
        <v>69</v>
      </c>
      <c r="BE2" s="7" t="s">
        <v>70</v>
      </c>
      <c r="BF2" s="7" t="s">
        <v>71</v>
      </c>
    </row>
    <row r="3" ht="30.0" customHeight="1">
      <c r="A3" s="11">
        <v>7.100248306E9</v>
      </c>
      <c r="B3" t="s">
        <v>72</v>
      </c>
      <c r="C3" t="s">
        <v>73</v>
      </c>
      <c r="D3" s="11">
        <v>7.100248306E9</v>
      </c>
      <c r="E3" t="s">
        <v>74</v>
      </c>
      <c r="F3" s="11">
        <v>324191.0</v>
      </c>
      <c r="G3" t="str">
        <f t="shared" ref="G3:G69" si="1">LEN(H3)</f>
        <v>42</v>
      </c>
      <c r="H3" t="s">
        <v>75</v>
      </c>
      <c r="I3" s="12" t="s">
        <v>76</v>
      </c>
      <c r="K3" s="13" t="s">
        <v>77</v>
      </c>
      <c r="L3" s="13">
        <v>30.0</v>
      </c>
      <c r="M3" s="13" t="s">
        <v>78</v>
      </c>
      <c r="N3" s="14">
        <v>342.35</v>
      </c>
      <c r="Q3" s="15" t="s">
        <v>79</v>
      </c>
      <c r="R3" s="16">
        <v>56.5</v>
      </c>
      <c r="S3" s="17" t="str">
        <f t="shared" ref="S3:S69" si="2">(U3-R3)/U3</f>
        <v>30.5%</v>
      </c>
      <c r="T3" s="16" t="str">
        <f t="shared" ref="T3:T4" si="3">R3/0.7</f>
        <v>80.71</v>
      </c>
      <c r="U3" s="16" t="str">
        <f t="shared" ref="U3:U69" si="4">T3*1.0075</f>
        <v>81.32</v>
      </c>
      <c r="V3" s="15"/>
      <c r="W3" s="15" t="s">
        <v>80</v>
      </c>
      <c r="X3" s="15">
        <v>30.0</v>
      </c>
      <c r="Y3" s="15" t="s">
        <v>81</v>
      </c>
      <c r="Z3" s="15" t="s">
        <v>82</v>
      </c>
      <c r="AA3" s="15" t="s">
        <v>82</v>
      </c>
      <c r="AB3" s="15" t="s">
        <v>82</v>
      </c>
      <c r="AC3" s="15" t="s">
        <v>82</v>
      </c>
      <c r="AE3" s="18"/>
      <c r="AO3" t="s">
        <v>83</v>
      </c>
      <c r="AT3">
        <v>30.0</v>
      </c>
      <c r="AU3" t="s">
        <v>84</v>
      </c>
    </row>
    <row r="4" ht="30.0" customHeight="1">
      <c r="A4" s="11">
        <v>7.100044445E9</v>
      </c>
      <c r="B4" t="s">
        <v>72</v>
      </c>
      <c r="C4" t="s">
        <v>73</v>
      </c>
      <c r="D4" s="11">
        <v>7.100044445E9</v>
      </c>
      <c r="E4" t="s">
        <v>85</v>
      </c>
      <c r="F4" t="s">
        <v>86</v>
      </c>
      <c r="G4" t="str">
        <f t="shared" si="1"/>
        <v>47</v>
      </c>
      <c r="H4" t="s">
        <v>87</v>
      </c>
      <c r="I4" s="12" t="s">
        <v>88</v>
      </c>
      <c r="K4" s="13" t="s">
        <v>89</v>
      </c>
      <c r="L4" s="13">
        <v>1.0</v>
      </c>
      <c r="M4" s="13" t="s">
        <v>90</v>
      </c>
      <c r="N4" s="14">
        <v>1.94</v>
      </c>
      <c r="Q4" s="15" t="s">
        <v>79</v>
      </c>
      <c r="R4" s="16">
        <v>0.7205</v>
      </c>
      <c r="S4" s="17" t="str">
        <f t="shared" si="2"/>
        <v>30.5%</v>
      </c>
      <c r="T4" s="16" t="str">
        <f t="shared" si="3"/>
        <v>1.03</v>
      </c>
      <c r="U4" s="16" t="str">
        <f t="shared" si="4"/>
        <v>1.04</v>
      </c>
      <c r="V4" s="15"/>
      <c r="W4" s="15" t="s">
        <v>80</v>
      </c>
      <c r="X4" s="15">
        <v>30.0</v>
      </c>
      <c r="Y4" s="15" t="s">
        <v>81</v>
      </c>
      <c r="Z4" s="15" t="s">
        <v>82</v>
      </c>
      <c r="AA4" s="15" t="s">
        <v>82</v>
      </c>
      <c r="AB4" s="15" t="s">
        <v>82</v>
      </c>
      <c r="AC4" s="15" t="s">
        <v>82</v>
      </c>
      <c r="AE4" s="19" t="s">
        <v>91</v>
      </c>
      <c r="AO4" t="s">
        <v>92</v>
      </c>
      <c r="AT4">
        <v>30.0</v>
      </c>
      <c r="AU4" t="s">
        <v>84</v>
      </c>
      <c r="AV4">
        <v>6.0</v>
      </c>
      <c r="AW4">
        <v>6.0</v>
      </c>
      <c r="AX4">
        <v>0.03</v>
      </c>
      <c r="AY4" t="s">
        <v>90</v>
      </c>
      <c r="AZ4">
        <v>0.029</v>
      </c>
    </row>
    <row r="5" ht="30.0" customHeight="1">
      <c r="A5" s="11">
        <v>7.100044446E9</v>
      </c>
      <c r="B5" t="s">
        <v>72</v>
      </c>
      <c r="C5" t="s">
        <v>73</v>
      </c>
      <c r="D5" s="11">
        <v>7.100044446E9</v>
      </c>
      <c r="E5" t="s">
        <v>93</v>
      </c>
      <c r="F5" t="s">
        <v>86</v>
      </c>
      <c r="G5" t="str">
        <f t="shared" si="1"/>
        <v>47</v>
      </c>
      <c r="H5" t="s">
        <v>94</v>
      </c>
      <c r="I5" s="12" t="s">
        <v>95</v>
      </c>
      <c r="K5" s="13" t="s">
        <v>89</v>
      </c>
      <c r="L5" s="13">
        <v>1.0</v>
      </c>
      <c r="M5" s="13" t="s">
        <v>90</v>
      </c>
      <c r="N5" s="14">
        <v>1.34</v>
      </c>
      <c r="Q5" s="15" t="s">
        <v>79</v>
      </c>
      <c r="R5" s="16">
        <v>0.804</v>
      </c>
      <c r="S5" s="17" t="str">
        <f t="shared" si="2"/>
        <v>25.6%</v>
      </c>
      <c r="T5" s="16" t="str">
        <f>R5/0.75</f>
        <v>1.07</v>
      </c>
      <c r="U5" s="16" t="str">
        <f t="shared" si="4"/>
        <v>1.08</v>
      </c>
      <c r="V5" s="15"/>
      <c r="W5" s="15" t="s">
        <v>80</v>
      </c>
      <c r="X5" s="15">
        <v>30.0</v>
      </c>
      <c r="Y5" s="15" t="s">
        <v>81</v>
      </c>
      <c r="Z5" s="15" t="s">
        <v>82</v>
      </c>
      <c r="AA5" s="15" t="s">
        <v>82</v>
      </c>
      <c r="AB5" s="15" t="s">
        <v>82</v>
      </c>
      <c r="AC5" s="15" t="s">
        <v>82</v>
      </c>
      <c r="AE5" s="19" t="s">
        <v>96</v>
      </c>
      <c r="AO5" t="s">
        <v>97</v>
      </c>
      <c r="AT5">
        <v>30.0</v>
      </c>
      <c r="AU5" t="s">
        <v>84</v>
      </c>
      <c r="AV5">
        <v>5.0</v>
      </c>
      <c r="AW5">
        <v>5.0</v>
      </c>
      <c r="AX5">
        <v>0.03</v>
      </c>
      <c r="AY5" t="s">
        <v>90</v>
      </c>
      <c r="AZ5">
        <v>0.016</v>
      </c>
    </row>
    <row r="6" ht="30.0" customHeight="1">
      <c r="A6" s="11">
        <v>7.100044448E9</v>
      </c>
      <c r="B6" t="s">
        <v>72</v>
      </c>
      <c r="C6" t="s">
        <v>73</v>
      </c>
      <c r="D6" s="11">
        <v>7.100044448E9</v>
      </c>
      <c r="E6" t="s">
        <v>98</v>
      </c>
      <c r="F6" t="s">
        <v>86</v>
      </c>
      <c r="G6" t="str">
        <f t="shared" si="1"/>
        <v>47</v>
      </c>
      <c r="H6" t="s">
        <v>94</v>
      </c>
      <c r="I6" s="12" t="s">
        <v>99</v>
      </c>
      <c r="K6" s="13" t="s">
        <v>89</v>
      </c>
      <c r="L6" s="13">
        <v>1.0</v>
      </c>
      <c r="M6" s="13" t="s">
        <v>90</v>
      </c>
      <c r="N6" s="14">
        <v>1.47</v>
      </c>
      <c r="Q6" s="15" t="s">
        <v>79</v>
      </c>
      <c r="R6" s="16">
        <v>0.696</v>
      </c>
      <c r="S6" s="17" t="str">
        <f t="shared" si="2"/>
        <v>30.5%</v>
      </c>
      <c r="T6" s="16" t="str">
        <f>R6/0.7</f>
        <v>0.99</v>
      </c>
      <c r="U6" s="16" t="str">
        <f t="shared" si="4"/>
        <v>1.00</v>
      </c>
      <c r="V6" s="15"/>
      <c r="W6" s="15" t="s">
        <v>80</v>
      </c>
      <c r="X6" s="15">
        <v>30.0</v>
      </c>
      <c r="Y6" s="15" t="s">
        <v>81</v>
      </c>
      <c r="Z6" s="15" t="s">
        <v>82</v>
      </c>
      <c r="AA6" s="15" t="s">
        <v>82</v>
      </c>
      <c r="AB6" s="15" t="s">
        <v>82</v>
      </c>
      <c r="AC6" s="15" t="s">
        <v>82</v>
      </c>
      <c r="AE6" s="19" t="s">
        <v>100</v>
      </c>
      <c r="AO6" t="s">
        <v>101</v>
      </c>
      <c r="AT6">
        <v>30.0</v>
      </c>
      <c r="AU6" t="s">
        <v>84</v>
      </c>
      <c r="AV6">
        <v>5.0</v>
      </c>
      <c r="AW6">
        <v>5.0</v>
      </c>
      <c r="AX6">
        <v>0.03</v>
      </c>
      <c r="AY6" t="s">
        <v>90</v>
      </c>
      <c r="AZ6">
        <v>0.02</v>
      </c>
    </row>
    <row r="7" ht="30.0" customHeight="1">
      <c r="A7" s="11">
        <v>7.100044449E9</v>
      </c>
      <c r="B7" t="s">
        <v>72</v>
      </c>
      <c r="C7" t="s">
        <v>73</v>
      </c>
      <c r="D7" s="11">
        <v>7.100044449E9</v>
      </c>
      <c r="E7" t="s">
        <v>102</v>
      </c>
      <c r="F7" t="s">
        <v>86</v>
      </c>
      <c r="G7" t="str">
        <f t="shared" si="1"/>
        <v>47</v>
      </c>
      <c r="H7" t="s">
        <v>87</v>
      </c>
      <c r="I7" s="12" t="s">
        <v>103</v>
      </c>
      <c r="K7" s="13" t="s">
        <v>89</v>
      </c>
      <c r="L7" s="13">
        <v>1.0</v>
      </c>
      <c r="M7" s="13" t="s">
        <v>90</v>
      </c>
      <c r="N7" s="14">
        <v>1.7</v>
      </c>
      <c r="Q7" s="15" t="s">
        <v>79</v>
      </c>
      <c r="R7" s="16">
        <v>0.6657</v>
      </c>
      <c r="S7" s="17" t="str">
        <f t="shared" si="2"/>
        <v>25.6%</v>
      </c>
      <c r="T7" s="16" t="str">
        <f t="shared" ref="T7:T8" si="5">R7/0.75</f>
        <v>0.89</v>
      </c>
      <c r="U7" s="16" t="str">
        <f t="shared" si="4"/>
        <v>0.89</v>
      </c>
      <c r="V7" s="15"/>
      <c r="W7" s="15" t="s">
        <v>80</v>
      </c>
      <c r="X7" s="15">
        <v>30.0</v>
      </c>
      <c r="Y7" s="15" t="s">
        <v>81</v>
      </c>
      <c r="Z7" s="15" t="s">
        <v>82</v>
      </c>
      <c r="AA7" s="15" t="s">
        <v>82</v>
      </c>
      <c r="AB7" s="15" t="s">
        <v>82</v>
      </c>
      <c r="AC7" s="15" t="s">
        <v>82</v>
      </c>
      <c r="AE7" s="18" t="s">
        <v>104</v>
      </c>
      <c r="AO7" t="s">
        <v>105</v>
      </c>
      <c r="AT7">
        <v>30.0</v>
      </c>
      <c r="AU7" t="s">
        <v>84</v>
      </c>
      <c r="AV7">
        <v>6.0</v>
      </c>
      <c r="AW7">
        <v>6.0</v>
      </c>
      <c r="AX7">
        <v>0.03</v>
      </c>
      <c r="AY7" t="s">
        <v>90</v>
      </c>
      <c r="AZ7">
        <v>0.023</v>
      </c>
    </row>
    <row r="8" ht="30.0" customHeight="1">
      <c r="A8" s="11">
        <v>7.100066678E9</v>
      </c>
      <c r="B8" t="s">
        <v>72</v>
      </c>
      <c r="C8" t="s">
        <v>73</v>
      </c>
      <c r="D8" s="11">
        <v>7.100066678E9</v>
      </c>
      <c r="E8" t="s">
        <v>106</v>
      </c>
      <c r="F8" t="s">
        <v>86</v>
      </c>
      <c r="G8" t="str">
        <f t="shared" si="1"/>
        <v>47</v>
      </c>
      <c r="H8" t="s">
        <v>94</v>
      </c>
      <c r="I8" s="12" t="s">
        <v>107</v>
      </c>
      <c r="K8" s="13" t="s">
        <v>89</v>
      </c>
      <c r="L8" s="13">
        <v>1.0</v>
      </c>
      <c r="M8" s="13" t="s">
        <v>90</v>
      </c>
      <c r="N8" s="14">
        <v>1.34</v>
      </c>
      <c r="Q8" s="15" t="s">
        <v>79</v>
      </c>
      <c r="R8" s="16">
        <v>0.804</v>
      </c>
      <c r="S8" s="17" t="str">
        <f t="shared" si="2"/>
        <v>25.6%</v>
      </c>
      <c r="T8" s="16" t="str">
        <f t="shared" si="5"/>
        <v>1.07</v>
      </c>
      <c r="U8" s="16" t="str">
        <f t="shared" si="4"/>
        <v>1.08</v>
      </c>
      <c r="V8" s="15"/>
      <c r="W8" s="15" t="s">
        <v>80</v>
      </c>
      <c r="X8" s="15">
        <v>30.0</v>
      </c>
      <c r="Y8" s="15" t="s">
        <v>81</v>
      </c>
      <c r="Z8" s="15" t="s">
        <v>82</v>
      </c>
      <c r="AA8" s="15" t="s">
        <v>82</v>
      </c>
      <c r="AB8" s="15" t="s">
        <v>82</v>
      </c>
      <c r="AC8" s="15" t="s">
        <v>82</v>
      </c>
      <c r="AE8" s="18" t="s">
        <v>108</v>
      </c>
      <c r="AO8" t="s">
        <v>109</v>
      </c>
      <c r="AT8">
        <v>30.0</v>
      </c>
      <c r="AU8" t="s">
        <v>84</v>
      </c>
      <c r="AV8">
        <v>5.0</v>
      </c>
      <c r="AW8">
        <v>5.0</v>
      </c>
      <c r="AX8">
        <v>0.03</v>
      </c>
      <c r="AY8" t="s">
        <v>90</v>
      </c>
      <c r="AZ8">
        <v>0.014</v>
      </c>
    </row>
    <row r="9" ht="30.0" customHeight="1">
      <c r="A9" s="11">
        <v>7.100066679E9</v>
      </c>
      <c r="B9" t="s">
        <v>72</v>
      </c>
      <c r="C9" t="s">
        <v>73</v>
      </c>
      <c r="D9" s="11">
        <v>7.100066679E9</v>
      </c>
      <c r="E9" t="s">
        <v>110</v>
      </c>
      <c r="F9" t="s">
        <v>86</v>
      </c>
      <c r="G9" t="str">
        <f t="shared" si="1"/>
        <v>47</v>
      </c>
      <c r="H9" t="s">
        <v>87</v>
      </c>
      <c r="I9" s="12" t="s">
        <v>111</v>
      </c>
      <c r="K9" s="13" t="s">
        <v>89</v>
      </c>
      <c r="L9" s="13">
        <v>1.0</v>
      </c>
      <c r="M9" s="13" t="s">
        <v>90</v>
      </c>
      <c r="N9" s="14">
        <v>1.7</v>
      </c>
      <c r="Q9" s="15" t="s">
        <v>79</v>
      </c>
      <c r="R9" s="16">
        <v>0.6657</v>
      </c>
      <c r="S9" s="17" t="str">
        <f t="shared" si="2"/>
        <v>30.5%</v>
      </c>
      <c r="T9" s="16" t="str">
        <f t="shared" ref="T9:T29" si="6">R9/0.7</f>
        <v>0.95</v>
      </c>
      <c r="U9" s="16" t="str">
        <f t="shared" si="4"/>
        <v>0.96</v>
      </c>
      <c r="V9" s="15"/>
      <c r="W9" s="15" t="s">
        <v>80</v>
      </c>
      <c r="X9" s="15">
        <v>30.0</v>
      </c>
      <c r="Y9" s="15" t="s">
        <v>81</v>
      </c>
      <c r="Z9" s="15" t="s">
        <v>82</v>
      </c>
      <c r="AA9" s="15" t="s">
        <v>82</v>
      </c>
      <c r="AB9" s="15" t="s">
        <v>82</v>
      </c>
      <c r="AC9" s="15" t="s">
        <v>82</v>
      </c>
      <c r="AE9" s="18" t="s">
        <v>112</v>
      </c>
      <c r="AO9" t="s">
        <v>113</v>
      </c>
      <c r="AT9">
        <v>30.0</v>
      </c>
      <c r="AU9" t="s">
        <v>84</v>
      </c>
      <c r="AV9">
        <v>6.0</v>
      </c>
      <c r="AW9">
        <v>6.0</v>
      </c>
      <c r="AX9">
        <v>0.03</v>
      </c>
      <c r="AY9" t="s">
        <v>90</v>
      </c>
      <c r="AZ9">
        <v>0.02</v>
      </c>
    </row>
    <row r="10" ht="30.0" customHeight="1">
      <c r="A10" s="11">
        <v>7.100066702E9</v>
      </c>
      <c r="B10" t="s">
        <v>72</v>
      </c>
      <c r="C10" t="s">
        <v>73</v>
      </c>
      <c r="D10" s="11">
        <v>7.100066702E9</v>
      </c>
      <c r="E10" t="s">
        <v>114</v>
      </c>
      <c r="F10" t="s">
        <v>86</v>
      </c>
      <c r="G10" t="str">
        <f t="shared" si="1"/>
        <v>47</v>
      </c>
      <c r="H10" t="s">
        <v>87</v>
      </c>
      <c r="I10" s="12" t="s">
        <v>115</v>
      </c>
      <c r="K10" s="13" t="s">
        <v>89</v>
      </c>
      <c r="L10" s="13">
        <v>1.0</v>
      </c>
      <c r="M10" s="13" t="s">
        <v>90</v>
      </c>
      <c r="N10" s="14">
        <v>1.7</v>
      </c>
      <c r="Q10" s="15" t="s">
        <v>79</v>
      </c>
      <c r="R10" s="16">
        <v>0.6295</v>
      </c>
      <c r="S10" s="17" t="str">
        <f t="shared" si="2"/>
        <v>30.5%</v>
      </c>
      <c r="T10" s="16" t="str">
        <f t="shared" si="6"/>
        <v>0.90</v>
      </c>
      <c r="U10" s="16" t="str">
        <f t="shared" si="4"/>
        <v>0.91</v>
      </c>
      <c r="V10" s="15"/>
      <c r="W10" s="15" t="s">
        <v>80</v>
      </c>
      <c r="X10" s="15">
        <v>30.0</v>
      </c>
      <c r="Y10" s="15" t="s">
        <v>81</v>
      </c>
      <c r="Z10" s="15" t="s">
        <v>82</v>
      </c>
      <c r="AA10" s="15" t="s">
        <v>82</v>
      </c>
      <c r="AB10" s="15" t="s">
        <v>82</v>
      </c>
      <c r="AC10" s="15" t="s">
        <v>82</v>
      </c>
      <c r="AE10" s="18" t="s">
        <v>116</v>
      </c>
      <c r="AO10" t="s">
        <v>117</v>
      </c>
      <c r="AT10">
        <v>30.0</v>
      </c>
      <c r="AU10" t="s">
        <v>84</v>
      </c>
      <c r="AV10">
        <v>6.0</v>
      </c>
      <c r="AW10">
        <v>6.0</v>
      </c>
      <c r="AX10">
        <v>0.03</v>
      </c>
      <c r="AY10" t="s">
        <v>90</v>
      </c>
      <c r="AZ10">
        <v>0.023</v>
      </c>
    </row>
    <row r="11" ht="30.0" customHeight="1">
      <c r="A11" s="11">
        <v>7.100077622E9</v>
      </c>
      <c r="B11" t="s">
        <v>72</v>
      </c>
      <c r="C11" t="s">
        <v>73</v>
      </c>
      <c r="D11" s="11">
        <v>7.100077622E9</v>
      </c>
      <c r="E11" t="s">
        <v>118</v>
      </c>
      <c r="F11" t="s">
        <v>86</v>
      </c>
      <c r="G11" t="str">
        <f t="shared" si="1"/>
        <v>50</v>
      </c>
      <c r="H11" t="s">
        <v>119</v>
      </c>
      <c r="I11" s="12" t="s">
        <v>120</v>
      </c>
      <c r="K11" s="13" t="s">
        <v>89</v>
      </c>
      <c r="L11" s="13">
        <v>1.0</v>
      </c>
      <c r="M11" s="13" t="s">
        <v>90</v>
      </c>
      <c r="N11" s="14">
        <v>1.71</v>
      </c>
      <c r="Q11" s="15" t="s">
        <v>79</v>
      </c>
      <c r="R11" s="16">
        <v>0.6232</v>
      </c>
      <c r="S11" s="17" t="str">
        <f t="shared" si="2"/>
        <v>30.5%</v>
      </c>
      <c r="T11" s="16" t="str">
        <f t="shared" si="6"/>
        <v>0.89</v>
      </c>
      <c r="U11" s="16" t="str">
        <f t="shared" si="4"/>
        <v>0.90</v>
      </c>
      <c r="V11" s="15"/>
      <c r="W11" s="15" t="s">
        <v>80</v>
      </c>
      <c r="X11" s="15">
        <v>30.0</v>
      </c>
      <c r="Y11" s="15" t="s">
        <v>81</v>
      </c>
      <c r="Z11" s="15" t="s">
        <v>82</v>
      </c>
      <c r="AA11" s="15" t="s">
        <v>82</v>
      </c>
      <c r="AB11" s="15" t="s">
        <v>82</v>
      </c>
      <c r="AC11" s="15" t="s">
        <v>82</v>
      </c>
      <c r="AE11" s="18" t="s">
        <v>121</v>
      </c>
      <c r="AO11" t="s">
        <v>122</v>
      </c>
      <c r="AT11">
        <v>30.0</v>
      </c>
      <c r="AU11" t="s">
        <v>84</v>
      </c>
      <c r="AV11">
        <v>6.0</v>
      </c>
      <c r="AW11">
        <v>6.0</v>
      </c>
      <c r="AX11">
        <v>0.02</v>
      </c>
      <c r="AY11" t="s">
        <v>90</v>
      </c>
      <c r="AZ11">
        <v>0.014</v>
      </c>
    </row>
    <row r="12" ht="30.0" customHeight="1">
      <c r="A12" s="11">
        <v>7.100268547E9</v>
      </c>
      <c r="B12" t="s">
        <v>72</v>
      </c>
      <c r="C12" t="s">
        <v>73</v>
      </c>
      <c r="D12" s="11">
        <v>7.100268547E9</v>
      </c>
      <c r="E12" t="s">
        <v>123</v>
      </c>
      <c r="F12" t="s">
        <v>86</v>
      </c>
      <c r="G12" t="str">
        <f t="shared" si="1"/>
        <v>48</v>
      </c>
      <c r="H12" t="s">
        <v>124</v>
      </c>
      <c r="I12" s="12" t="s">
        <v>125</v>
      </c>
      <c r="K12" s="13" t="s">
        <v>126</v>
      </c>
      <c r="L12" s="13">
        <v>2000.0</v>
      </c>
      <c r="M12" s="13" t="s">
        <v>90</v>
      </c>
      <c r="N12" s="14">
        <v>1510.2</v>
      </c>
      <c r="Q12" s="15" t="s">
        <v>79</v>
      </c>
      <c r="R12" s="16">
        <v>906.2</v>
      </c>
      <c r="S12" s="17" t="str">
        <f t="shared" si="2"/>
        <v>30.5%</v>
      </c>
      <c r="T12" s="16" t="str">
        <f t="shared" si="6"/>
        <v>1294.57</v>
      </c>
      <c r="U12" s="16" t="str">
        <f t="shared" si="4"/>
        <v>1304.28</v>
      </c>
      <c r="V12" s="15"/>
      <c r="W12" s="15" t="s">
        <v>80</v>
      </c>
      <c r="X12" s="15">
        <v>30.0</v>
      </c>
      <c r="Y12" s="15" t="s">
        <v>81</v>
      </c>
      <c r="Z12" s="15" t="s">
        <v>82</v>
      </c>
      <c r="AA12" s="15" t="s">
        <v>82</v>
      </c>
      <c r="AB12" s="15" t="s">
        <v>82</v>
      </c>
      <c r="AC12" s="15" t="s">
        <v>82</v>
      </c>
      <c r="AE12" s="18" t="s">
        <v>127</v>
      </c>
      <c r="AO12" t="s">
        <v>128</v>
      </c>
      <c r="AT12">
        <v>30.0</v>
      </c>
      <c r="AU12" t="s">
        <v>84</v>
      </c>
      <c r="AV12">
        <v>3.0</v>
      </c>
      <c r="AW12">
        <v>3.0</v>
      </c>
      <c r="AX12">
        <v>0.02</v>
      </c>
      <c r="AY12" t="s">
        <v>90</v>
      </c>
      <c r="AZ12">
        <v>0.03</v>
      </c>
    </row>
    <row r="13" ht="30.0" customHeight="1">
      <c r="A13" s="11">
        <v>7.100268548E9</v>
      </c>
      <c r="B13" t="s">
        <v>72</v>
      </c>
      <c r="C13" t="s">
        <v>73</v>
      </c>
      <c r="D13" s="11">
        <v>7.100268548E9</v>
      </c>
      <c r="E13" t="s">
        <v>129</v>
      </c>
      <c r="F13" t="s">
        <v>86</v>
      </c>
      <c r="G13" t="str">
        <f t="shared" si="1"/>
        <v>48</v>
      </c>
      <c r="H13" t="s">
        <v>124</v>
      </c>
      <c r="I13" s="12" t="s">
        <v>130</v>
      </c>
      <c r="K13" s="13" t="s">
        <v>126</v>
      </c>
      <c r="L13" s="13">
        <v>2000.0</v>
      </c>
      <c r="M13" s="13" t="s">
        <v>90</v>
      </c>
      <c r="N13" s="14">
        <v>1510.2</v>
      </c>
      <c r="Q13" s="15" t="s">
        <v>79</v>
      </c>
      <c r="R13" s="16">
        <v>906.2</v>
      </c>
      <c r="S13" s="17" t="str">
        <f t="shared" si="2"/>
        <v>30.5%</v>
      </c>
      <c r="T13" s="16" t="str">
        <f t="shared" si="6"/>
        <v>1294.57</v>
      </c>
      <c r="U13" s="16" t="str">
        <f t="shared" si="4"/>
        <v>1304.28</v>
      </c>
      <c r="V13" s="15"/>
      <c r="W13" s="15" t="s">
        <v>80</v>
      </c>
      <c r="X13" s="15">
        <v>30.0</v>
      </c>
      <c r="Y13" s="15" t="s">
        <v>81</v>
      </c>
      <c r="Z13" s="15" t="s">
        <v>82</v>
      </c>
      <c r="AA13" s="15" t="s">
        <v>82</v>
      </c>
      <c r="AB13" s="15" t="s">
        <v>82</v>
      </c>
      <c r="AC13" s="15" t="s">
        <v>82</v>
      </c>
      <c r="AE13" s="18" t="s">
        <v>131</v>
      </c>
      <c r="AO13" t="s">
        <v>132</v>
      </c>
      <c r="AT13">
        <v>30.0</v>
      </c>
      <c r="AU13" t="s">
        <v>84</v>
      </c>
      <c r="AV13">
        <v>3.0</v>
      </c>
      <c r="AW13">
        <v>3.0</v>
      </c>
      <c r="AX13">
        <v>0.02</v>
      </c>
      <c r="AY13" t="s">
        <v>90</v>
      </c>
      <c r="AZ13">
        <v>0.03</v>
      </c>
    </row>
    <row r="14" ht="30.0" customHeight="1">
      <c r="A14" s="11">
        <v>7.100268549E9</v>
      </c>
      <c r="B14" t="s">
        <v>72</v>
      </c>
      <c r="C14" t="s">
        <v>73</v>
      </c>
      <c r="D14" s="11">
        <v>7.100268549E9</v>
      </c>
      <c r="E14" t="s">
        <v>133</v>
      </c>
      <c r="F14" t="s">
        <v>86</v>
      </c>
      <c r="G14" t="str">
        <f t="shared" si="1"/>
        <v>48</v>
      </c>
      <c r="H14" t="s">
        <v>124</v>
      </c>
      <c r="I14" s="12" t="s">
        <v>134</v>
      </c>
      <c r="K14" s="13" t="s">
        <v>126</v>
      </c>
      <c r="L14" s="13">
        <v>2000.0</v>
      </c>
      <c r="M14" s="13" t="s">
        <v>90</v>
      </c>
      <c r="N14" s="14">
        <v>1510.2</v>
      </c>
      <c r="Q14" s="15" t="s">
        <v>79</v>
      </c>
      <c r="R14" s="16">
        <v>906.2</v>
      </c>
      <c r="S14" s="17" t="str">
        <f t="shared" si="2"/>
        <v>30.5%</v>
      </c>
      <c r="T14" s="16" t="str">
        <f t="shared" si="6"/>
        <v>1294.57</v>
      </c>
      <c r="U14" s="16" t="str">
        <f t="shared" si="4"/>
        <v>1304.28</v>
      </c>
      <c r="V14" s="15"/>
      <c r="W14" s="15" t="s">
        <v>80</v>
      </c>
      <c r="X14" s="15">
        <v>30.0</v>
      </c>
      <c r="Y14" s="15" t="s">
        <v>81</v>
      </c>
      <c r="Z14" s="15" t="s">
        <v>82</v>
      </c>
      <c r="AA14" s="15" t="s">
        <v>82</v>
      </c>
      <c r="AB14" s="15" t="s">
        <v>82</v>
      </c>
      <c r="AC14" s="15" t="s">
        <v>82</v>
      </c>
      <c r="AE14" s="18" t="s">
        <v>135</v>
      </c>
      <c r="AO14" t="s">
        <v>136</v>
      </c>
      <c r="AT14">
        <v>30.0</v>
      </c>
      <c r="AU14" t="s">
        <v>84</v>
      </c>
      <c r="AV14">
        <v>3.0</v>
      </c>
      <c r="AW14">
        <v>3.0</v>
      </c>
      <c r="AX14">
        <v>0.02</v>
      </c>
      <c r="AY14" t="s">
        <v>90</v>
      </c>
      <c r="AZ14">
        <v>0.03</v>
      </c>
    </row>
    <row r="15" ht="30.0" customHeight="1">
      <c r="A15" s="11">
        <v>7.000088514E9</v>
      </c>
      <c r="B15" t="s">
        <v>72</v>
      </c>
      <c r="C15" t="s">
        <v>73</v>
      </c>
      <c r="D15" s="11">
        <v>7.000088514E9</v>
      </c>
      <c r="E15" t="s">
        <v>137</v>
      </c>
      <c r="F15" s="11">
        <v>324191.0</v>
      </c>
      <c r="G15" t="str">
        <f t="shared" si="1"/>
        <v>50</v>
      </c>
      <c r="H15" s="12" t="s">
        <v>138</v>
      </c>
      <c r="I15" s="12" t="s">
        <v>139</v>
      </c>
      <c r="K15" s="13" t="s">
        <v>77</v>
      </c>
      <c r="L15" s="13">
        <v>1.0</v>
      </c>
      <c r="M15" s="13" t="s">
        <v>90</v>
      </c>
      <c r="N15" s="14">
        <v>20.14</v>
      </c>
      <c r="Q15" s="15" t="s">
        <v>79</v>
      </c>
      <c r="R15" s="16">
        <v>6.57</v>
      </c>
      <c r="S15" s="17" t="str">
        <f t="shared" si="2"/>
        <v>30.5%</v>
      </c>
      <c r="T15" s="16" t="str">
        <f t="shared" si="6"/>
        <v>9.39</v>
      </c>
      <c r="U15" s="16" t="str">
        <f t="shared" si="4"/>
        <v>9.46</v>
      </c>
      <c r="V15" s="15"/>
      <c r="W15" s="15" t="s">
        <v>80</v>
      </c>
      <c r="X15" s="15">
        <v>30.0</v>
      </c>
      <c r="Y15" s="15" t="s">
        <v>81</v>
      </c>
      <c r="Z15" s="15" t="s">
        <v>82</v>
      </c>
      <c r="AA15" s="15" t="s">
        <v>82</v>
      </c>
      <c r="AB15" s="15" t="s">
        <v>82</v>
      </c>
      <c r="AC15" s="15" t="s">
        <v>82</v>
      </c>
      <c r="AE15" s="18" t="s">
        <v>140</v>
      </c>
      <c r="AO15" t="s">
        <v>141</v>
      </c>
      <c r="AT15">
        <v>30.0</v>
      </c>
      <c r="AU15" t="s">
        <v>84</v>
      </c>
      <c r="AV15" t="s">
        <v>142</v>
      </c>
      <c r="AW15" t="s">
        <v>143</v>
      </c>
      <c r="AY15" t="s">
        <v>90</v>
      </c>
      <c r="AZ15">
        <v>0.49</v>
      </c>
    </row>
    <row r="16" ht="30.0" customHeight="1">
      <c r="A16" s="11">
        <v>7.000088516E9</v>
      </c>
      <c r="B16" t="s">
        <v>72</v>
      </c>
      <c r="C16" t="s">
        <v>73</v>
      </c>
      <c r="D16" s="11">
        <v>7.000088516E9</v>
      </c>
      <c r="E16" t="s">
        <v>144</v>
      </c>
      <c r="F16" s="11">
        <v>324191.0</v>
      </c>
      <c r="G16" t="str">
        <f t="shared" si="1"/>
        <v>50</v>
      </c>
      <c r="H16" t="s">
        <v>138</v>
      </c>
      <c r="I16" s="12" t="s">
        <v>145</v>
      </c>
      <c r="K16" s="13" t="s">
        <v>77</v>
      </c>
      <c r="L16" s="13">
        <v>1.0</v>
      </c>
      <c r="M16" s="13" t="s">
        <v>90</v>
      </c>
      <c r="N16" s="14">
        <v>40.34</v>
      </c>
      <c r="Q16" s="15" t="s">
        <v>79</v>
      </c>
      <c r="R16" s="16">
        <v>13.0</v>
      </c>
      <c r="S16" s="17" t="str">
        <f t="shared" si="2"/>
        <v>30.5%</v>
      </c>
      <c r="T16" s="16" t="str">
        <f t="shared" si="6"/>
        <v>18.57</v>
      </c>
      <c r="U16" s="16" t="str">
        <f t="shared" si="4"/>
        <v>18.71</v>
      </c>
      <c r="V16" s="15"/>
      <c r="W16" s="15" t="s">
        <v>80</v>
      </c>
      <c r="X16" s="15">
        <v>30.0</v>
      </c>
      <c r="Y16" s="15" t="s">
        <v>81</v>
      </c>
      <c r="Z16" s="15" t="s">
        <v>82</v>
      </c>
      <c r="AA16" s="15" t="s">
        <v>82</v>
      </c>
      <c r="AB16" s="15" t="s">
        <v>82</v>
      </c>
      <c r="AC16" s="15" t="s">
        <v>82</v>
      </c>
      <c r="AE16" s="18" t="s">
        <v>146</v>
      </c>
      <c r="AO16" t="s">
        <v>147</v>
      </c>
      <c r="AT16">
        <v>30.0</v>
      </c>
      <c r="AU16" t="s">
        <v>84</v>
      </c>
      <c r="AV16" t="s">
        <v>142</v>
      </c>
      <c r="AW16" t="s">
        <v>148</v>
      </c>
      <c r="AY16" t="s">
        <v>90</v>
      </c>
      <c r="AZ16">
        <v>0.77</v>
      </c>
    </row>
    <row r="17" ht="30.0" customHeight="1">
      <c r="A17" s="11">
        <v>7.000088517E9</v>
      </c>
      <c r="B17" t="s">
        <v>72</v>
      </c>
      <c r="C17" t="s">
        <v>73</v>
      </c>
      <c r="D17" s="11">
        <v>7.000088517E9</v>
      </c>
      <c r="E17" t="s">
        <v>149</v>
      </c>
      <c r="F17" s="11">
        <v>324191.0</v>
      </c>
      <c r="G17" t="str">
        <f t="shared" si="1"/>
        <v>50</v>
      </c>
      <c r="H17" t="s">
        <v>150</v>
      </c>
      <c r="I17" s="12" t="s">
        <v>151</v>
      </c>
      <c r="K17" s="13" t="s">
        <v>77</v>
      </c>
      <c r="L17" s="13">
        <v>1.0</v>
      </c>
      <c r="M17" s="13" t="s">
        <v>90</v>
      </c>
      <c r="N17" s="14">
        <v>60.47</v>
      </c>
      <c r="Q17" s="15" t="s">
        <v>79</v>
      </c>
      <c r="R17" s="16">
        <v>19.48</v>
      </c>
      <c r="S17" s="17" t="str">
        <f t="shared" si="2"/>
        <v>30.5%</v>
      </c>
      <c r="T17" s="16" t="str">
        <f t="shared" si="6"/>
        <v>27.83</v>
      </c>
      <c r="U17" s="16" t="str">
        <f t="shared" si="4"/>
        <v>28.04</v>
      </c>
      <c r="V17" s="15"/>
      <c r="W17" s="15" t="s">
        <v>80</v>
      </c>
      <c r="X17" s="15">
        <v>30.0</v>
      </c>
      <c r="Y17" s="15" t="s">
        <v>81</v>
      </c>
      <c r="Z17" s="15" t="s">
        <v>82</v>
      </c>
      <c r="AA17" s="15" t="s">
        <v>82</v>
      </c>
      <c r="AB17" s="15" t="s">
        <v>82</v>
      </c>
      <c r="AC17" s="15" t="s">
        <v>82</v>
      </c>
      <c r="AD17" s="18" t="s">
        <v>152</v>
      </c>
      <c r="AE17" s="18" t="s">
        <v>153</v>
      </c>
      <c r="AO17" t="s">
        <v>154</v>
      </c>
      <c r="AT17">
        <v>30.0</v>
      </c>
      <c r="AU17" t="s">
        <v>84</v>
      </c>
      <c r="AV17" t="s">
        <v>142</v>
      </c>
      <c r="AW17" t="s">
        <v>155</v>
      </c>
      <c r="AY17" t="s">
        <v>90</v>
      </c>
      <c r="AZ17">
        <v>1.5</v>
      </c>
    </row>
    <row r="18" ht="30.0" customHeight="1">
      <c r="A18" s="20">
        <v>7.10004507E9</v>
      </c>
      <c r="B18" t="s">
        <v>72</v>
      </c>
      <c r="C18" t="s">
        <v>73</v>
      </c>
      <c r="D18" s="11">
        <v>7.10004507E9</v>
      </c>
      <c r="E18" t="s">
        <v>156</v>
      </c>
      <c r="F18" t="s">
        <v>86</v>
      </c>
      <c r="G18" t="str">
        <f t="shared" si="1"/>
        <v>50</v>
      </c>
      <c r="H18" t="s">
        <v>157</v>
      </c>
      <c r="I18" s="12" t="s">
        <v>158</v>
      </c>
      <c r="K18" s="13" t="s">
        <v>89</v>
      </c>
      <c r="L18" s="13">
        <v>1.0</v>
      </c>
      <c r="M18" s="13" t="s">
        <v>90</v>
      </c>
      <c r="N18" s="14">
        <v>1.62</v>
      </c>
      <c r="Q18" s="15" t="s">
        <v>79</v>
      </c>
      <c r="R18" s="16">
        <v>0.771</v>
      </c>
      <c r="S18" s="17" t="str">
        <f t="shared" si="2"/>
        <v>30.5%</v>
      </c>
      <c r="T18" s="16" t="str">
        <f t="shared" si="6"/>
        <v>1.10</v>
      </c>
      <c r="U18" s="16" t="str">
        <f t="shared" si="4"/>
        <v>1.11</v>
      </c>
      <c r="V18" s="15"/>
      <c r="W18" s="15" t="s">
        <v>80</v>
      </c>
      <c r="X18" s="15">
        <v>30.0</v>
      </c>
      <c r="Y18" s="15" t="s">
        <v>81</v>
      </c>
      <c r="Z18" s="15" t="s">
        <v>82</v>
      </c>
      <c r="AA18" s="15" t="s">
        <v>82</v>
      </c>
      <c r="AB18" s="15" t="s">
        <v>82</v>
      </c>
      <c r="AC18" s="15" t="s">
        <v>82</v>
      </c>
      <c r="AE18" s="18"/>
      <c r="AO18" t="s">
        <v>159</v>
      </c>
      <c r="AP18" t="s">
        <v>160</v>
      </c>
      <c r="AT18">
        <v>30.0</v>
      </c>
      <c r="AU18" t="s">
        <v>84</v>
      </c>
    </row>
    <row r="19" ht="30.0" customHeight="1">
      <c r="A19" s="20">
        <v>7.100045071E9</v>
      </c>
      <c r="B19" t="s">
        <v>72</v>
      </c>
      <c r="C19" t="s">
        <v>73</v>
      </c>
      <c r="D19" s="11">
        <v>7.100045071E9</v>
      </c>
      <c r="E19" t="s">
        <v>161</v>
      </c>
      <c r="F19" t="s">
        <v>86</v>
      </c>
      <c r="G19" t="str">
        <f t="shared" si="1"/>
        <v>50</v>
      </c>
      <c r="H19" t="s">
        <v>162</v>
      </c>
      <c r="I19" s="12" t="s">
        <v>163</v>
      </c>
      <c r="K19" s="13" t="s">
        <v>89</v>
      </c>
      <c r="L19" s="13">
        <v>1.0</v>
      </c>
      <c r="M19" s="13" t="s">
        <v>90</v>
      </c>
      <c r="N19" s="14">
        <v>1.37</v>
      </c>
      <c r="Q19" s="15" t="s">
        <v>79</v>
      </c>
      <c r="R19" s="16">
        <v>0.6495</v>
      </c>
      <c r="S19" s="17" t="str">
        <f t="shared" si="2"/>
        <v>30.5%</v>
      </c>
      <c r="T19" s="16" t="str">
        <f t="shared" si="6"/>
        <v>0.93</v>
      </c>
      <c r="U19" s="16" t="str">
        <f t="shared" si="4"/>
        <v>0.93</v>
      </c>
      <c r="V19" s="15"/>
      <c r="W19" s="15" t="s">
        <v>80</v>
      </c>
      <c r="X19" s="15">
        <v>30.0</v>
      </c>
      <c r="Y19" s="15" t="s">
        <v>81</v>
      </c>
      <c r="Z19" s="15" t="s">
        <v>82</v>
      </c>
      <c r="AA19" s="15" t="s">
        <v>82</v>
      </c>
      <c r="AB19" s="15" t="s">
        <v>82</v>
      </c>
      <c r="AC19" s="15" t="s">
        <v>82</v>
      </c>
      <c r="AE19" s="18"/>
      <c r="AO19" t="s">
        <v>164</v>
      </c>
      <c r="AP19" t="s">
        <v>165</v>
      </c>
      <c r="AT19">
        <v>30.0</v>
      </c>
      <c r="AU19" t="s">
        <v>84</v>
      </c>
    </row>
    <row r="20" ht="30.0" customHeight="1">
      <c r="A20" s="11">
        <v>7.100045072E9</v>
      </c>
      <c r="B20" t="s">
        <v>72</v>
      </c>
      <c r="C20" t="s">
        <v>73</v>
      </c>
      <c r="D20" s="11">
        <v>7.100045072E9</v>
      </c>
      <c r="E20" t="s">
        <v>166</v>
      </c>
      <c r="F20" t="s">
        <v>86</v>
      </c>
      <c r="G20" t="str">
        <f t="shared" si="1"/>
        <v>50</v>
      </c>
      <c r="H20" t="s">
        <v>167</v>
      </c>
      <c r="I20" s="12" t="s">
        <v>168</v>
      </c>
      <c r="K20" s="13" t="s">
        <v>89</v>
      </c>
      <c r="L20" s="13">
        <v>1.0</v>
      </c>
      <c r="M20" s="13" t="s">
        <v>90</v>
      </c>
      <c r="N20" s="14">
        <v>2.5</v>
      </c>
      <c r="Q20" s="15" t="s">
        <v>79</v>
      </c>
      <c r="R20" s="16">
        <v>1.09</v>
      </c>
      <c r="S20" s="17" t="str">
        <f t="shared" si="2"/>
        <v>30.5%</v>
      </c>
      <c r="T20" s="16" t="str">
        <f t="shared" si="6"/>
        <v>1.56</v>
      </c>
      <c r="U20" s="16" t="str">
        <f t="shared" si="4"/>
        <v>1.57</v>
      </c>
      <c r="V20" s="15"/>
      <c r="W20" s="15" t="s">
        <v>80</v>
      </c>
      <c r="X20" s="15">
        <v>30.0</v>
      </c>
      <c r="Y20" s="15" t="s">
        <v>81</v>
      </c>
      <c r="Z20" s="15" t="s">
        <v>82</v>
      </c>
      <c r="AA20" s="15" t="s">
        <v>82</v>
      </c>
      <c r="AB20" s="15" t="s">
        <v>82</v>
      </c>
      <c r="AC20" s="15" t="s">
        <v>82</v>
      </c>
      <c r="AD20" t="s">
        <v>169</v>
      </c>
      <c r="AE20" s="19" t="s">
        <v>170</v>
      </c>
      <c r="AO20" t="s">
        <v>171</v>
      </c>
      <c r="AP20" t="s">
        <v>172</v>
      </c>
      <c r="AT20">
        <v>30.0</v>
      </c>
      <c r="AU20" t="s">
        <v>84</v>
      </c>
      <c r="AV20">
        <v>6.0</v>
      </c>
      <c r="AW20">
        <v>6.0</v>
      </c>
      <c r="AX20">
        <v>0.03</v>
      </c>
      <c r="AY20" t="s">
        <v>90</v>
      </c>
    </row>
    <row r="21" ht="30.0" customHeight="1">
      <c r="A21" s="20">
        <v>7.100045073E9</v>
      </c>
      <c r="B21" t="s">
        <v>72</v>
      </c>
      <c r="C21" t="s">
        <v>73</v>
      </c>
      <c r="D21" s="11">
        <v>7.100045073E9</v>
      </c>
      <c r="E21" t="s">
        <v>173</v>
      </c>
      <c r="F21" t="s">
        <v>86</v>
      </c>
      <c r="G21" t="str">
        <f t="shared" si="1"/>
        <v>50</v>
      </c>
      <c r="H21" t="s">
        <v>174</v>
      </c>
      <c r="I21" s="12" t="s">
        <v>175</v>
      </c>
      <c r="K21" s="13" t="e">
        <v>#N/A</v>
      </c>
      <c r="L21" s="13">
        <v>1.0</v>
      </c>
      <c r="M21" s="13" t="s">
        <v>90</v>
      </c>
      <c r="N21" s="14">
        <v>1.89</v>
      </c>
      <c r="Q21" s="15" t="s">
        <v>79</v>
      </c>
      <c r="R21" s="16">
        <v>0.9184</v>
      </c>
      <c r="S21" s="17" t="str">
        <f t="shared" si="2"/>
        <v>30.5%</v>
      </c>
      <c r="T21" s="16" t="str">
        <f t="shared" si="6"/>
        <v>1.31</v>
      </c>
      <c r="U21" s="16" t="str">
        <f t="shared" si="4"/>
        <v>1.32</v>
      </c>
      <c r="V21" s="15"/>
      <c r="W21" s="15" t="s">
        <v>80</v>
      </c>
      <c r="X21" s="15">
        <v>30.0</v>
      </c>
      <c r="Y21" s="15" t="s">
        <v>81</v>
      </c>
      <c r="Z21" s="15" t="s">
        <v>82</v>
      </c>
      <c r="AA21" s="15" t="s">
        <v>82</v>
      </c>
      <c r="AB21" s="15" t="s">
        <v>82</v>
      </c>
      <c r="AC21" s="15" t="s">
        <v>82</v>
      </c>
      <c r="AE21" s="18"/>
      <c r="AO21" t="s">
        <v>176</v>
      </c>
      <c r="AP21" t="s">
        <v>177</v>
      </c>
      <c r="AT21">
        <v>30.0</v>
      </c>
      <c r="AU21" t="s">
        <v>84</v>
      </c>
    </row>
    <row r="22" ht="30.0" customHeight="1">
      <c r="A22" s="11">
        <v>7.10005363E9</v>
      </c>
      <c r="B22" t="s">
        <v>72</v>
      </c>
      <c r="C22" t="s">
        <v>73</v>
      </c>
      <c r="D22" s="11">
        <v>7.10005363E9</v>
      </c>
      <c r="E22" t="s">
        <v>178</v>
      </c>
      <c r="F22" s="11">
        <v>324191.0</v>
      </c>
      <c r="G22" t="str">
        <f t="shared" si="1"/>
        <v>50</v>
      </c>
      <c r="H22" t="s">
        <v>179</v>
      </c>
      <c r="I22" s="12" t="s">
        <v>180</v>
      </c>
      <c r="K22" s="13" t="s">
        <v>77</v>
      </c>
      <c r="L22" s="13">
        <v>1.0</v>
      </c>
      <c r="M22" s="13" t="s">
        <v>90</v>
      </c>
      <c r="N22" s="14">
        <v>101.33</v>
      </c>
      <c r="Q22" s="15" t="s">
        <v>79</v>
      </c>
      <c r="R22" s="16">
        <v>32.03</v>
      </c>
      <c r="S22" s="17" t="str">
        <f t="shared" si="2"/>
        <v>30.5%</v>
      </c>
      <c r="T22" s="16" t="str">
        <f t="shared" si="6"/>
        <v>45.76</v>
      </c>
      <c r="U22" s="16" t="str">
        <f t="shared" si="4"/>
        <v>46.10</v>
      </c>
      <c r="V22" s="15"/>
      <c r="W22" s="15" t="s">
        <v>80</v>
      </c>
      <c r="X22" s="15">
        <v>30.0</v>
      </c>
      <c r="Y22" s="15" t="s">
        <v>81</v>
      </c>
      <c r="Z22" s="15" t="s">
        <v>82</v>
      </c>
      <c r="AA22" s="15" t="s">
        <v>82</v>
      </c>
      <c r="AB22" s="15" t="s">
        <v>82</v>
      </c>
      <c r="AC22" s="15" t="s">
        <v>82</v>
      </c>
      <c r="AD22" t="s">
        <v>181</v>
      </c>
      <c r="AE22" s="18" t="s">
        <v>182</v>
      </c>
      <c r="AO22" t="s">
        <v>183</v>
      </c>
      <c r="AT22">
        <v>30.0</v>
      </c>
      <c r="AU22" t="s">
        <v>84</v>
      </c>
      <c r="AV22" t="s">
        <v>184</v>
      </c>
      <c r="AW22" t="s">
        <v>185</v>
      </c>
      <c r="AY22" t="s">
        <v>90</v>
      </c>
      <c r="AZ22">
        <v>1.56</v>
      </c>
    </row>
    <row r="23" ht="30.0" customHeight="1">
      <c r="A23" s="11">
        <v>7.100053644E9</v>
      </c>
      <c r="B23" t="s">
        <v>72</v>
      </c>
      <c r="C23" t="s">
        <v>73</v>
      </c>
      <c r="D23" s="11">
        <v>7.100053644E9</v>
      </c>
      <c r="E23" t="s">
        <v>186</v>
      </c>
      <c r="F23" s="11">
        <v>324191.0</v>
      </c>
      <c r="G23" t="str">
        <f t="shared" si="1"/>
        <v>50</v>
      </c>
      <c r="H23" t="s">
        <v>187</v>
      </c>
      <c r="I23" s="12" t="s">
        <v>188</v>
      </c>
      <c r="K23" s="13" t="s">
        <v>77</v>
      </c>
      <c r="L23" s="13">
        <v>1.0</v>
      </c>
      <c r="M23" s="13" t="s">
        <v>90</v>
      </c>
      <c r="N23" s="14">
        <v>151.99</v>
      </c>
      <c r="Q23" s="15" t="s">
        <v>79</v>
      </c>
      <c r="R23" s="16">
        <v>38.42</v>
      </c>
      <c r="S23" s="17" t="str">
        <f t="shared" si="2"/>
        <v>30.5%</v>
      </c>
      <c r="T23" s="16" t="str">
        <f t="shared" si="6"/>
        <v>54.89</v>
      </c>
      <c r="U23" s="16" t="str">
        <f t="shared" si="4"/>
        <v>55.30</v>
      </c>
      <c r="V23" s="15"/>
      <c r="W23" s="15" t="s">
        <v>80</v>
      </c>
      <c r="X23" s="15">
        <v>30.0</v>
      </c>
      <c r="Y23" s="15" t="s">
        <v>81</v>
      </c>
      <c r="Z23" s="15" t="s">
        <v>82</v>
      </c>
      <c r="AA23" s="15" t="s">
        <v>82</v>
      </c>
      <c r="AB23" s="15" t="s">
        <v>82</v>
      </c>
      <c r="AC23" s="15" t="s">
        <v>82</v>
      </c>
      <c r="AD23" t="s">
        <v>189</v>
      </c>
      <c r="AE23" s="19" t="s">
        <v>190</v>
      </c>
      <c r="AO23" t="s">
        <v>191</v>
      </c>
      <c r="AT23">
        <v>30.0</v>
      </c>
      <c r="AU23" t="s">
        <v>84</v>
      </c>
      <c r="AV23" t="s">
        <v>184</v>
      </c>
      <c r="AW23" t="s">
        <v>192</v>
      </c>
      <c r="AY23" t="s">
        <v>90</v>
      </c>
      <c r="AZ23">
        <v>2.4</v>
      </c>
    </row>
    <row r="24" ht="30.0" customHeight="1">
      <c r="A24" s="11">
        <v>7.100053741E9</v>
      </c>
      <c r="B24" t="s">
        <v>72</v>
      </c>
      <c r="C24" t="s">
        <v>73</v>
      </c>
      <c r="D24" s="11">
        <v>7.100053741E9</v>
      </c>
      <c r="E24" t="s">
        <v>193</v>
      </c>
      <c r="F24" s="11">
        <v>324191.0</v>
      </c>
      <c r="G24" t="str">
        <f t="shared" si="1"/>
        <v>50</v>
      </c>
      <c r="H24" t="s">
        <v>194</v>
      </c>
      <c r="I24" s="12" t="s">
        <v>195</v>
      </c>
      <c r="K24" s="13" t="s">
        <v>77</v>
      </c>
      <c r="L24" s="13">
        <v>1.0</v>
      </c>
      <c r="M24" s="13" t="s">
        <v>90</v>
      </c>
      <c r="N24" s="14">
        <v>50.68</v>
      </c>
      <c r="Q24" s="15" t="s">
        <v>79</v>
      </c>
      <c r="R24" s="16">
        <v>14.78</v>
      </c>
      <c r="S24" s="17" t="str">
        <f t="shared" si="2"/>
        <v>30.5%</v>
      </c>
      <c r="T24" s="16" t="str">
        <f t="shared" si="6"/>
        <v>21.11</v>
      </c>
      <c r="U24" s="16" t="str">
        <f t="shared" si="4"/>
        <v>21.27</v>
      </c>
      <c r="V24" s="15"/>
      <c r="W24" s="15" t="s">
        <v>80</v>
      </c>
      <c r="X24" s="15">
        <v>30.0</v>
      </c>
      <c r="Y24" s="15" t="s">
        <v>81</v>
      </c>
      <c r="Z24" s="15" t="s">
        <v>82</v>
      </c>
      <c r="AA24" s="15" t="s">
        <v>82</v>
      </c>
      <c r="AB24" s="15" t="s">
        <v>82</v>
      </c>
      <c r="AC24" s="15" t="s">
        <v>82</v>
      </c>
      <c r="AE24" s="18" t="s">
        <v>196</v>
      </c>
      <c r="AO24" t="s">
        <v>197</v>
      </c>
      <c r="AT24">
        <v>30.0</v>
      </c>
      <c r="AU24" t="s">
        <v>84</v>
      </c>
      <c r="AV24" t="s">
        <v>184</v>
      </c>
      <c r="AW24" t="s">
        <v>198</v>
      </c>
      <c r="AY24" t="s">
        <v>90</v>
      </c>
      <c r="AZ24">
        <v>0.82</v>
      </c>
    </row>
    <row r="25" ht="30.0" customHeight="1">
      <c r="A25" s="20">
        <v>7.100064177E9</v>
      </c>
      <c r="B25" t="s">
        <v>72</v>
      </c>
      <c r="C25" t="s">
        <v>73</v>
      </c>
      <c r="D25" s="11">
        <v>7.100064177E9</v>
      </c>
      <c r="E25" t="s">
        <v>199</v>
      </c>
      <c r="F25" t="s">
        <v>86</v>
      </c>
      <c r="G25" t="str">
        <f t="shared" si="1"/>
        <v>46</v>
      </c>
      <c r="H25" t="s">
        <v>200</v>
      </c>
      <c r="I25" s="12" t="s">
        <v>201</v>
      </c>
      <c r="K25" s="13" t="s">
        <v>89</v>
      </c>
      <c r="L25" s="13">
        <v>1.0</v>
      </c>
      <c r="M25" s="13" t="s">
        <v>90</v>
      </c>
      <c r="N25" s="14">
        <v>1.37</v>
      </c>
      <c r="Q25" s="15" t="s">
        <v>79</v>
      </c>
      <c r="R25" s="16">
        <v>0.6495</v>
      </c>
      <c r="S25" s="17" t="str">
        <f t="shared" si="2"/>
        <v>30.5%</v>
      </c>
      <c r="T25" s="16" t="str">
        <f t="shared" si="6"/>
        <v>0.93</v>
      </c>
      <c r="U25" s="16" t="str">
        <f t="shared" si="4"/>
        <v>0.93</v>
      </c>
      <c r="V25" s="15"/>
      <c r="W25" s="15" t="s">
        <v>80</v>
      </c>
      <c r="X25" s="15">
        <v>30.0</v>
      </c>
      <c r="Y25" s="15" t="s">
        <v>81</v>
      </c>
      <c r="Z25" s="15" t="s">
        <v>82</v>
      </c>
      <c r="AA25" s="15" t="s">
        <v>82</v>
      </c>
      <c r="AB25" s="15" t="s">
        <v>82</v>
      </c>
      <c r="AC25" s="15" t="s">
        <v>82</v>
      </c>
      <c r="AE25" s="18"/>
      <c r="AO25" t="s">
        <v>202</v>
      </c>
      <c r="AP25" t="s">
        <v>203</v>
      </c>
      <c r="AT25">
        <v>30.0</v>
      </c>
      <c r="AU25" t="s">
        <v>84</v>
      </c>
    </row>
    <row r="26" ht="30.0" customHeight="1">
      <c r="A26" s="20">
        <v>7.100064178E9</v>
      </c>
      <c r="B26" t="s">
        <v>72</v>
      </c>
      <c r="C26" t="s">
        <v>73</v>
      </c>
      <c r="D26" s="11">
        <v>7.100064178E9</v>
      </c>
      <c r="E26" t="s">
        <v>204</v>
      </c>
      <c r="F26" t="s">
        <v>86</v>
      </c>
      <c r="G26" t="str">
        <f t="shared" si="1"/>
        <v>46</v>
      </c>
      <c r="H26" t="s">
        <v>205</v>
      </c>
      <c r="I26" s="12" t="s">
        <v>206</v>
      </c>
      <c r="K26" s="13" t="s">
        <v>89</v>
      </c>
      <c r="L26" s="13">
        <v>1.0</v>
      </c>
      <c r="M26" s="13" t="s">
        <v>90</v>
      </c>
      <c r="N26" s="14">
        <v>1.89</v>
      </c>
      <c r="Q26" s="15" t="s">
        <v>79</v>
      </c>
      <c r="R26" s="16">
        <v>0.9184</v>
      </c>
      <c r="S26" s="17" t="str">
        <f t="shared" si="2"/>
        <v>30.5%</v>
      </c>
      <c r="T26" s="16" t="str">
        <f t="shared" si="6"/>
        <v>1.31</v>
      </c>
      <c r="U26" s="16" t="str">
        <f t="shared" si="4"/>
        <v>1.32</v>
      </c>
      <c r="V26" s="15"/>
      <c r="W26" s="15" t="s">
        <v>80</v>
      </c>
      <c r="X26" s="15">
        <v>30.0</v>
      </c>
      <c r="Y26" s="15" t="s">
        <v>81</v>
      </c>
      <c r="Z26" s="15" t="s">
        <v>82</v>
      </c>
      <c r="AA26" s="15" t="s">
        <v>82</v>
      </c>
      <c r="AB26" s="15" t="s">
        <v>82</v>
      </c>
      <c r="AC26" s="15" t="s">
        <v>82</v>
      </c>
      <c r="AE26" s="18"/>
      <c r="AO26" t="s">
        <v>207</v>
      </c>
      <c r="AT26">
        <v>30.0</v>
      </c>
      <c r="AU26" t="s">
        <v>84</v>
      </c>
    </row>
    <row r="27" ht="30.0" customHeight="1">
      <c r="A27" s="20">
        <v>7.10006427E9</v>
      </c>
      <c r="B27" t="s">
        <v>72</v>
      </c>
      <c r="C27" t="s">
        <v>73</v>
      </c>
      <c r="D27" s="11">
        <v>7.10006427E9</v>
      </c>
      <c r="E27" t="s">
        <v>208</v>
      </c>
      <c r="F27" t="s">
        <v>86</v>
      </c>
      <c r="G27" t="str">
        <f t="shared" si="1"/>
        <v>46</v>
      </c>
      <c r="H27" t="s">
        <v>209</v>
      </c>
      <c r="I27" s="12" t="s">
        <v>210</v>
      </c>
      <c r="K27" s="13" t="s">
        <v>89</v>
      </c>
      <c r="L27" s="13">
        <v>1.0</v>
      </c>
      <c r="M27" s="13" t="s">
        <v>90</v>
      </c>
      <c r="N27" s="14">
        <v>1.37</v>
      </c>
      <c r="Q27" s="15" t="s">
        <v>79</v>
      </c>
      <c r="R27" s="16">
        <v>0.6495</v>
      </c>
      <c r="S27" s="17" t="str">
        <f t="shared" si="2"/>
        <v>30.5%</v>
      </c>
      <c r="T27" s="16" t="str">
        <f t="shared" si="6"/>
        <v>0.93</v>
      </c>
      <c r="U27" s="16" t="str">
        <f t="shared" si="4"/>
        <v>0.93</v>
      </c>
      <c r="V27" s="15"/>
      <c r="W27" s="15" t="s">
        <v>80</v>
      </c>
      <c r="X27" s="15">
        <v>30.0</v>
      </c>
      <c r="Y27" s="15" t="s">
        <v>81</v>
      </c>
      <c r="Z27" s="15" t="s">
        <v>82</v>
      </c>
      <c r="AA27" s="15" t="s">
        <v>82</v>
      </c>
      <c r="AB27" s="15" t="s">
        <v>82</v>
      </c>
      <c r="AC27" s="15" t="s">
        <v>82</v>
      </c>
      <c r="AE27" s="18"/>
      <c r="AO27" t="s">
        <v>211</v>
      </c>
      <c r="AT27">
        <v>30.0</v>
      </c>
      <c r="AU27" t="s">
        <v>84</v>
      </c>
    </row>
    <row r="28" ht="30.0" customHeight="1">
      <c r="A28" s="11">
        <v>7.100141692E9</v>
      </c>
      <c r="B28" t="s">
        <v>72</v>
      </c>
      <c r="C28" t="s">
        <v>73</v>
      </c>
      <c r="D28" s="11">
        <v>7.100141692E9</v>
      </c>
      <c r="E28" t="s">
        <v>212</v>
      </c>
      <c r="F28" t="s">
        <v>86</v>
      </c>
      <c r="G28" t="str">
        <f t="shared" si="1"/>
        <v>48</v>
      </c>
      <c r="H28" t="s">
        <v>213</v>
      </c>
      <c r="I28" s="12" t="s">
        <v>214</v>
      </c>
      <c r="K28" s="13" t="s">
        <v>89</v>
      </c>
      <c r="L28" s="13">
        <v>1.0</v>
      </c>
      <c r="M28" s="13" t="s">
        <v>90</v>
      </c>
      <c r="N28" s="14">
        <v>2.08</v>
      </c>
      <c r="Q28" s="15" t="s">
        <v>79</v>
      </c>
      <c r="R28" s="16">
        <v>0.9184</v>
      </c>
      <c r="S28" s="17" t="str">
        <f t="shared" si="2"/>
        <v>30.5%</v>
      </c>
      <c r="T28" s="16" t="str">
        <f t="shared" si="6"/>
        <v>1.31</v>
      </c>
      <c r="U28" s="16" t="str">
        <f t="shared" si="4"/>
        <v>1.32</v>
      </c>
      <c r="V28" s="15"/>
      <c r="W28" s="15" t="s">
        <v>80</v>
      </c>
      <c r="X28" s="15">
        <v>30.0</v>
      </c>
      <c r="Y28" s="15" t="s">
        <v>81</v>
      </c>
      <c r="Z28" s="15" t="s">
        <v>82</v>
      </c>
      <c r="AA28" s="15" t="s">
        <v>82</v>
      </c>
      <c r="AB28" s="15" t="s">
        <v>82</v>
      </c>
      <c r="AC28" s="15" t="s">
        <v>82</v>
      </c>
      <c r="AE28" s="18" t="s">
        <v>215</v>
      </c>
      <c r="AO28" t="s">
        <v>216</v>
      </c>
      <c r="AT28">
        <v>30.0</v>
      </c>
      <c r="AU28" t="s">
        <v>84</v>
      </c>
      <c r="AV28">
        <v>6.0</v>
      </c>
      <c r="AW28">
        <v>6.0</v>
      </c>
      <c r="AX28">
        <v>0.03</v>
      </c>
      <c r="AY28" t="s">
        <v>90</v>
      </c>
      <c r="AZ28">
        <v>0.2</v>
      </c>
    </row>
    <row r="29" ht="30.0" customHeight="1">
      <c r="A29" s="11">
        <v>7.100145363E9</v>
      </c>
      <c r="B29" t="s">
        <v>72</v>
      </c>
      <c r="C29" t="s">
        <v>73</v>
      </c>
      <c r="D29" s="11">
        <v>7.100145363E9</v>
      </c>
      <c r="E29" t="s">
        <v>217</v>
      </c>
      <c r="F29" t="s">
        <v>86</v>
      </c>
      <c r="G29" t="str">
        <f t="shared" si="1"/>
        <v>48</v>
      </c>
      <c r="H29" t="s">
        <v>213</v>
      </c>
      <c r="I29" s="12" t="s">
        <v>218</v>
      </c>
      <c r="K29" s="13" t="s">
        <v>89</v>
      </c>
      <c r="L29" s="13">
        <v>1.0</v>
      </c>
      <c r="M29" s="13" t="s">
        <v>90</v>
      </c>
      <c r="N29" s="14">
        <v>1.49</v>
      </c>
      <c r="Q29" s="15" t="s">
        <v>79</v>
      </c>
      <c r="R29" s="16">
        <v>0.6495</v>
      </c>
      <c r="S29" s="17" t="str">
        <f t="shared" si="2"/>
        <v>30.5%</v>
      </c>
      <c r="T29" s="16" t="str">
        <f t="shared" si="6"/>
        <v>0.93</v>
      </c>
      <c r="U29" s="16" t="str">
        <f t="shared" si="4"/>
        <v>0.93</v>
      </c>
      <c r="V29" s="15"/>
      <c r="W29" s="15" t="s">
        <v>80</v>
      </c>
      <c r="X29" s="15">
        <v>30.0</v>
      </c>
      <c r="Y29" s="15" t="s">
        <v>81</v>
      </c>
      <c r="Z29" s="15" t="s">
        <v>82</v>
      </c>
      <c r="AA29" s="15" t="s">
        <v>82</v>
      </c>
      <c r="AB29" s="15" t="s">
        <v>82</v>
      </c>
      <c r="AC29" s="15" t="s">
        <v>82</v>
      </c>
      <c r="AD29" t="s">
        <v>219</v>
      </c>
      <c r="AE29" s="18" t="s">
        <v>220</v>
      </c>
      <c r="AO29" t="s">
        <v>221</v>
      </c>
      <c r="AT29">
        <v>30.0</v>
      </c>
      <c r="AU29" t="s">
        <v>84</v>
      </c>
      <c r="AV29">
        <v>5.0</v>
      </c>
      <c r="AW29">
        <v>5.0</v>
      </c>
      <c r="AX29">
        <v>0.03</v>
      </c>
      <c r="AY29" t="s">
        <v>90</v>
      </c>
      <c r="AZ29">
        <v>0.012</v>
      </c>
    </row>
    <row r="30" ht="30.0" customHeight="1">
      <c r="A30" s="11">
        <v>7.000002041E9</v>
      </c>
      <c r="B30" t="s">
        <v>72</v>
      </c>
      <c r="C30" t="s">
        <v>73</v>
      </c>
      <c r="D30" s="11">
        <v>7.000002041E9</v>
      </c>
      <c r="E30" t="s">
        <v>222</v>
      </c>
      <c r="F30" t="s">
        <v>86</v>
      </c>
      <c r="G30" t="str">
        <f t="shared" si="1"/>
        <v>48</v>
      </c>
      <c r="H30" t="s">
        <v>223</v>
      </c>
      <c r="I30" s="12" t="s">
        <v>224</v>
      </c>
      <c r="K30" s="13" t="s">
        <v>225</v>
      </c>
      <c r="L30" s="13">
        <v>2.0</v>
      </c>
      <c r="M30" s="13" t="s">
        <v>90</v>
      </c>
      <c r="N30" s="14">
        <v>43.08</v>
      </c>
      <c r="Q30" s="15" t="s">
        <v>79</v>
      </c>
      <c r="R30" s="16">
        <v>25.78</v>
      </c>
      <c r="S30" s="17" t="str">
        <f t="shared" si="2"/>
        <v>15.6%</v>
      </c>
      <c r="T30" s="16" t="str">
        <f t="shared" ref="T30:T31" si="7">R30/0.85</f>
        <v>30.33</v>
      </c>
      <c r="U30" s="16" t="str">
        <f t="shared" si="4"/>
        <v>30.56</v>
      </c>
      <c r="V30" s="15"/>
      <c r="W30" s="15" t="s">
        <v>80</v>
      </c>
      <c r="X30" s="15">
        <v>30.0</v>
      </c>
      <c r="Y30" s="15" t="s">
        <v>81</v>
      </c>
      <c r="Z30" s="15" t="s">
        <v>82</v>
      </c>
      <c r="AA30" s="15" t="s">
        <v>82</v>
      </c>
      <c r="AB30" s="15" t="s">
        <v>82</v>
      </c>
      <c r="AC30" s="15" t="s">
        <v>82</v>
      </c>
      <c r="AD30" t="s">
        <v>226</v>
      </c>
      <c r="AE30" s="18" t="s">
        <v>227</v>
      </c>
      <c r="AO30" t="s">
        <v>228</v>
      </c>
      <c r="AP30" t="s">
        <v>229</v>
      </c>
      <c r="AT30">
        <v>30.0</v>
      </c>
      <c r="AU30" t="s">
        <v>84</v>
      </c>
      <c r="AV30">
        <v>4.2</v>
      </c>
      <c r="AX30">
        <v>3.4</v>
      </c>
      <c r="AY30" t="s">
        <v>90</v>
      </c>
      <c r="AZ30">
        <v>0.44</v>
      </c>
    </row>
    <row r="31" ht="30.0" customHeight="1">
      <c r="A31" s="11">
        <v>7.000051991E9</v>
      </c>
      <c r="B31" t="s">
        <v>72</v>
      </c>
      <c r="C31" t="s">
        <v>73</v>
      </c>
      <c r="D31" s="11">
        <v>7.000051991E9</v>
      </c>
      <c r="E31" t="s">
        <v>230</v>
      </c>
      <c r="F31" t="s">
        <v>86</v>
      </c>
      <c r="G31" t="str">
        <f t="shared" si="1"/>
        <v>45</v>
      </c>
      <c r="H31" t="s">
        <v>231</v>
      </c>
      <c r="I31" s="12" t="s">
        <v>232</v>
      </c>
      <c r="K31" s="13" t="s">
        <v>225</v>
      </c>
      <c r="L31" s="13">
        <v>2.0</v>
      </c>
      <c r="M31" s="13" t="s">
        <v>90</v>
      </c>
      <c r="N31" s="14">
        <v>10.73</v>
      </c>
      <c r="Q31" s="15" t="s">
        <v>79</v>
      </c>
      <c r="R31" s="16">
        <v>6.44</v>
      </c>
      <c r="S31" s="17" t="str">
        <f t="shared" si="2"/>
        <v>15.6%</v>
      </c>
      <c r="T31" s="16" t="str">
        <f t="shared" si="7"/>
        <v>7.58</v>
      </c>
      <c r="U31" s="16" t="str">
        <f t="shared" si="4"/>
        <v>7.63</v>
      </c>
      <c r="V31" s="15"/>
      <c r="W31" s="15" t="s">
        <v>80</v>
      </c>
      <c r="X31" s="15">
        <v>30.0</v>
      </c>
      <c r="Y31" s="15" t="s">
        <v>81</v>
      </c>
      <c r="Z31" s="15" t="s">
        <v>82</v>
      </c>
      <c r="AA31" s="15" t="s">
        <v>82</v>
      </c>
      <c r="AB31" s="15" t="s">
        <v>82</v>
      </c>
      <c r="AC31" s="15" t="s">
        <v>82</v>
      </c>
      <c r="AD31" t="s">
        <v>233</v>
      </c>
      <c r="AE31" s="18" t="s">
        <v>234</v>
      </c>
      <c r="AO31" t="s">
        <v>235</v>
      </c>
      <c r="AT31">
        <v>30.0</v>
      </c>
      <c r="AU31" t="s">
        <v>84</v>
      </c>
      <c r="AV31">
        <v>4.3</v>
      </c>
      <c r="AX31">
        <v>4.3</v>
      </c>
      <c r="AY31" t="s">
        <v>90</v>
      </c>
      <c r="AZ31">
        <v>0.052</v>
      </c>
    </row>
    <row r="32" ht="30.0" customHeight="1">
      <c r="A32" s="11">
        <v>7.100322586E9</v>
      </c>
      <c r="B32" t="s">
        <v>72</v>
      </c>
      <c r="C32" t="s">
        <v>73</v>
      </c>
      <c r="D32" s="11">
        <v>7.100322586E9</v>
      </c>
      <c r="E32" t="s">
        <v>236</v>
      </c>
      <c r="F32" t="s">
        <v>86</v>
      </c>
      <c r="G32" t="str">
        <f t="shared" si="1"/>
        <v>46</v>
      </c>
      <c r="H32" t="s">
        <v>237</v>
      </c>
      <c r="I32" s="12" t="s">
        <v>238</v>
      </c>
      <c r="K32" s="13" t="s">
        <v>89</v>
      </c>
      <c r="L32" s="13">
        <v>1.0</v>
      </c>
      <c r="M32" s="13" t="s">
        <v>90</v>
      </c>
      <c r="N32" s="14">
        <v>657.58</v>
      </c>
      <c r="Q32" s="15" t="s">
        <v>79</v>
      </c>
      <c r="R32" s="16">
        <v>394.55</v>
      </c>
      <c r="S32" s="17" t="str">
        <f t="shared" si="2"/>
        <v>22.6%</v>
      </c>
      <c r="T32" s="16" t="str">
        <f>R32/0.78</f>
        <v>505.83</v>
      </c>
      <c r="U32" s="16" t="str">
        <f t="shared" si="4"/>
        <v>509.63</v>
      </c>
      <c r="V32" s="15"/>
      <c r="W32" s="15" t="s">
        <v>239</v>
      </c>
      <c r="X32" s="15">
        <v>270.0</v>
      </c>
      <c r="Y32" s="15" t="s">
        <v>81</v>
      </c>
      <c r="Z32" s="15" t="s">
        <v>82</v>
      </c>
      <c r="AA32" s="15" t="s">
        <v>82</v>
      </c>
      <c r="AB32" s="15" t="s">
        <v>82</v>
      </c>
      <c r="AC32" s="15" t="s">
        <v>82</v>
      </c>
      <c r="AD32" t="s">
        <v>240</v>
      </c>
      <c r="AE32" s="18" t="s">
        <v>241</v>
      </c>
      <c r="AO32" t="s">
        <v>242</v>
      </c>
      <c r="AP32" t="s">
        <v>243</v>
      </c>
      <c r="AV32">
        <v>10.0</v>
      </c>
      <c r="AW32">
        <v>8.0</v>
      </c>
      <c r="AX32">
        <v>6.0</v>
      </c>
      <c r="AY32" t="s">
        <v>90</v>
      </c>
      <c r="AZ32">
        <v>1.953</v>
      </c>
    </row>
    <row r="33" ht="30.0" customHeight="1">
      <c r="A33" s="11">
        <v>7.000126199E9</v>
      </c>
      <c r="B33" t="s">
        <v>72</v>
      </c>
      <c r="C33" t="s">
        <v>73</v>
      </c>
      <c r="D33" s="11">
        <v>7.000126199E9</v>
      </c>
      <c r="E33" t="s">
        <v>244</v>
      </c>
      <c r="F33" t="s">
        <v>86</v>
      </c>
      <c r="G33" t="str">
        <f t="shared" si="1"/>
        <v>46</v>
      </c>
      <c r="H33" t="s">
        <v>245</v>
      </c>
      <c r="I33" s="12" t="s">
        <v>246</v>
      </c>
      <c r="K33" s="13" t="s">
        <v>89</v>
      </c>
      <c r="L33" s="13">
        <v>1.0</v>
      </c>
      <c r="M33" s="13" t="s">
        <v>90</v>
      </c>
      <c r="N33" s="14">
        <v>656.0</v>
      </c>
      <c r="Q33" s="15" t="s">
        <v>79</v>
      </c>
      <c r="R33" s="16">
        <v>393.6</v>
      </c>
      <c r="S33" s="17" t="str">
        <f t="shared" si="2"/>
        <v>12.7%</v>
      </c>
      <c r="T33" s="16" t="str">
        <f>R33/0.88</f>
        <v>447.27</v>
      </c>
      <c r="U33" s="16" t="str">
        <f t="shared" si="4"/>
        <v>450.63</v>
      </c>
      <c r="V33" s="15"/>
      <c r="W33" s="15" t="s">
        <v>239</v>
      </c>
      <c r="X33" s="15">
        <v>2.0</v>
      </c>
      <c r="Y33" s="15" t="s">
        <v>81</v>
      </c>
      <c r="Z33" s="15" t="s">
        <v>82</v>
      </c>
      <c r="AA33" s="15" t="s">
        <v>82</v>
      </c>
      <c r="AB33" s="15" t="s">
        <v>82</v>
      </c>
      <c r="AC33" s="15" t="s">
        <v>82</v>
      </c>
      <c r="AD33" t="s">
        <v>247</v>
      </c>
      <c r="AE33" s="18" t="s">
        <v>248</v>
      </c>
      <c r="AO33" t="s">
        <v>249</v>
      </c>
      <c r="AP33" t="s">
        <v>250</v>
      </c>
      <c r="AV33">
        <v>10.0</v>
      </c>
      <c r="AW33">
        <v>8.0</v>
      </c>
      <c r="AX33">
        <v>6.0</v>
      </c>
      <c r="AY33" t="s">
        <v>90</v>
      </c>
      <c r="AZ33">
        <v>1.947</v>
      </c>
    </row>
    <row r="34" ht="30.0" customHeight="1">
      <c r="A34" s="11">
        <v>7.100325126E9</v>
      </c>
      <c r="B34" t="s">
        <v>72</v>
      </c>
      <c r="C34" t="s">
        <v>73</v>
      </c>
      <c r="D34" s="11">
        <v>7.100325126E9</v>
      </c>
      <c r="E34" t="s">
        <v>251</v>
      </c>
      <c r="F34" t="s">
        <v>86</v>
      </c>
      <c r="G34" t="str">
        <f t="shared" si="1"/>
        <v>46</v>
      </c>
      <c r="H34" t="s">
        <v>252</v>
      </c>
      <c r="I34" s="12" t="s">
        <v>253</v>
      </c>
      <c r="K34" s="13" t="s">
        <v>89</v>
      </c>
      <c r="L34" s="13">
        <v>1.0</v>
      </c>
      <c r="M34" s="13" t="s">
        <v>90</v>
      </c>
      <c r="N34" s="14">
        <v>657.58</v>
      </c>
      <c r="Q34" s="15" t="s">
        <v>79</v>
      </c>
      <c r="R34" s="16">
        <v>394.548</v>
      </c>
      <c r="S34" s="17" t="str">
        <f t="shared" si="2"/>
        <v>27.5%</v>
      </c>
      <c r="T34" s="16" t="str">
        <f>R34/0.73</f>
        <v>540.48</v>
      </c>
      <c r="U34" s="16" t="str">
        <f t="shared" si="4"/>
        <v>544.53</v>
      </c>
      <c r="V34" s="15"/>
      <c r="W34" s="15" t="s">
        <v>239</v>
      </c>
      <c r="X34" s="15">
        <v>270.0</v>
      </c>
      <c r="Y34" s="15" t="s">
        <v>81</v>
      </c>
      <c r="Z34" s="15" t="s">
        <v>82</v>
      </c>
      <c r="AA34" s="15" t="s">
        <v>82</v>
      </c>
      <c r="AB34" s="15" t="s">
        <v>82</v>
      </c>
      <c r="AC34" s="15" t="s">
        <v>82</v>
      </c>
      <c r="AD34" t="s">
        <v>254</v>
      </c>
      <c r="AE34" s="18" t="s">
        <v>255</v>
      </c>
      <c r="AO34" t="s">
        <v>256</v>
      </c>
      <c r="AP34" t="s">
        <v>257</v>
      </c>
      <c r="AV34">
        <v>10.0</v>
      </c>
      <c r="AW34">
        <v>8.0</v>
      </c>
      <c r="AX34">
        <v>6.0</v>
      </c>
      <c r="AY34" t="s">
        <v>90</v>
      </c>
      <c r="AZ34">
        <v>2.155</v>
      </c>
    </row>
    <row r="35" ht="30.0" customHeight="1">
      <c r="A35" s="11">
        <v>7.000123905E9</v>
      </c>
      <c r="B35" t="s">
        <v>72</v>
      </c>
      <c r="C35" t="s">
        <v>73</v>
      </c>
      <c r="D35" s="11">
        <v>7.000123905E9</v>
      </c>
      <c r="E35" t="s">
        <v>258</v>
      </c>
      <c r="F35" s="11">
        <v>324191.0</v>
      </c>
      <c r="G35" t="str">
        <f t="shared" si="1"/>
        <v>50</v>
      </c>
      <c r="H35" t="s">
        <v>259</v>
      </c>
      <c r="I35" s="12" t="s">
        <v>260</v>
      </c>
      <c r="K35" s="13" t="s">
        <v>126</v>
      </c>
      <c r="L35" s="13">
        <v>8.0</v>
      </c>
      <c r="M35" s="13" t="s">
        <v>261</v>
      </c>
      <c r="N35" s="14">
        <v>39.096</v>
      </c>
      <c r="Q35" s="15" t="s">
        <v>79</v>
      </c>
      <c r="R35" s="16">
        <v>23.4576</v>
      </c>
      <c r="S35" s="17" t="str">
        <f t="shared" si="2"/>
        <v>20.6%</v>
      </c>
      <c r="T35" s="16" t="str">
        <f>R35/0.8</f>
        <v>29.32</v>
      </c>
      <c r="U35" s="16" t="str">
        <f t="shared" si="4"/>
        <v>29.54</v>
      </c>
      <c r="V35" s="15"/>
      <c r="W35" s="15" t="s">
        <v>262</v>
      </c>
      <c r="X35" s="15">
        <v>30.0</v>
      </c>
      <c r="Y35" s="15" t="s">
        <v>81</v>
      </c>
      <c r="Z35" s="15" t="s">
        <v>82</v>
      </c>
      <c r="AA35" s="15" t="s">
        <v>82</v>
      </c>
      <c r="AB35" s="15" t="s">
        <v>82</v>
      </c>
      <c r="AC35" s="15" t="s">
        <v>82</v>
      </c>
      <c r="AD35" t="s">
        <v>263</v>
      </c>
      <c r="AE35" s="18" t="s">
        <v>264</v>
      </c>
      <c r="AO35" t="s">
        <v>265</v>
      </c>
      <c r="AV35" t="s">
        <v>184</v>
      </c>
      <c r="AW35" t="s">
        <v>266</v>
      </c>
      <c r="AY35" t="s">
        <v>90</v>
      </c>
      <c r="AZ35">
        <v>1.191</v>
      </c>
    </row>
    <row r="36" ht="30.0" customHeight="1">
      <c r="A36" s="11">
        <v>7.000048806E9</v>
      </c>
      <c r="B36" t="s">
        <v>72</v>
      </c>
      <c r="C36" t="s">
        <v>73</v>
      </c>
      <c r="D36" s="11">
        <v>7.000048806E9</v>
      </c>
      <c r="E36" t="s">
        <v>267</v>
      </c>
      <c r="F36" s="11">
        <v>324191.0</v>
      </c>
      <c r="G36" t="str">
        <f t="shared" si="1"/>
        <v>50</v>
      </c>
      <c r="H36" t="s">
        <v>268</v>
      </c>
      <c r="I36" s="12" t="s">
        <v>269</v>
      </c>
      <c r="K36" s="13" t="s">
        <v>126</v>
      </c>
      <c r="L36" s="13">
        <v>96.0</v>
      </c>
      <c r="M36" s="13" t="s">
        <v>261</v>
      </c>
      <c r="N36" s="14">
        <v>5.391</v>
      </c>
      <c r="Q36" s="15" t="s">
        <v>79</v>
      </c>
      <c r="R36" s="16">
        <v>3.2346</v>
      </c>
      <c r="S36" s="17" t="str">
        <f t="shared" si="2"/>
        <v>30.5%</v>
      </c>
      <c r="T36" s="16" t="str">
        <f t="shared" ref="T36:T45" si="8">R36/0.7</f>
        <v>4.62</v>
      </c>
      <c r="U36" s="16" t="str">
        <f t="shared" si="4"/>
        <v>4.66</v>
      </c>
      <c r="V36" s="15"/>
      <c r="W36" s="15" t="s">
        <v>262</v>
      </c>
      <c r="X36" s="15">
        <v>30.0</v>
      </c>
      <c r="Y36" s="15" t="s">
        <v>81</v>
      </c>
      <c r="Z36" s="15" t="s">
        <v>82</v>
      </c>
      <c r="AA36" s="15" t="s">
        <v>82</v>
      </c>
      <c r="AB36" s="15" t="s">
        <v>82</v>
      </c>
      <c r="AC36" s="15" t="s">
        <v>82</v>
      </c>
      <c r="AD36" t="s">
        <v>270</v>
      </c>
      <c r="AE36" s="18" t="s">
        <v>271</v>
      </c>
      <c r="AO36" t="s">
        <v>272</v>
      </c>
      <c r="AV36" t="s">
        <v>184</v>
      </c>
      <c r="AW36" t="s">
        <v>273</v>
      </c>
      <c r="AY36" t="s">
        <v>90</v>
      </c>
      <c r="AZ36">
        <v>0.151</v>
      </c>
    </row>
    <row r="37" ht="30.0" customHeight="1">
      <c r="A37" s="11">
        <v>7.100006159E9</v>
      </c>
      <c r="B37" t="s">
        <v>72</v>
      </c>
      <c r="C37" t="s">
        <v>73</v>
      </c>
      <c r="D37" s="11">
        <v>7.100006159E9</v>
      </c>
      <c r="E37" t="s">
        <v>274</v>
      </c>
      <c r="F37" s="11">
        <v>324191.0</v>
      </c>
      <c r="G37" t="str">
        <f t="shared" si="1"/>
        <v>50</v>
      </c>
      <c r="H37" t="s">
        <v>275</v>
      </c>
      <c r="I37" s="12" t="s">
        <v>276</v>
      </c>
      <c r="K37" s="13" t="s">
        <v>126</v>
      </c>
      <c r="L37" s="13">
        <v>48.0</v>
      </c>
      <c r="M37" s="13" t="s">
        <v>261</v>
      </c>
      <c r="N37" s="14">
        <v>7.083</v>
      </c>
      <c r="Q37" s="15" t="s">
        <v>79</v>
      </c>
      <c r="R37" s="16">
        <v>4.2498</v>
      </c>
      <c r="S37" s="17" t="str">
        <f t="shared" si="2"/>
        <v>30.5%</v>
      </c>
      <c r="T37" s="16" t="str">
        <f t="shared" si="8"/>
        <v>6.07</v>
      </c>
      <c r="U37" s="16" t="str">
        <f t="shared" si="4"/>
        <v>6.12</v>
      </c>
      <c r="V37" s="15"/>
      <c r="W37" s="15" t="s">
        <v>262</v>
      </c>
      <c r="X37" s="15">
        <v>30.0</v>
      </c>
      <c r="Y37" s="15" t="s">
        <v>81</v>
      </c>
      <c r="Z37" s="15" t="s">
        <v>82</v>
      </c>
      <c r="AA37" s="15" t="s">
        <v>82</v>
      </c>
      <c r="AB37" s="15" t="s">
        <v>82</v>
      </c>
      <c r="AC37" s="15" t="s">
        <v>82</v>
      </c>
      <c r="AD37" t="s">
        <v>277</v>
      </c>
      <c r="AE37" s="18" t="s">
        <v>278</v>
      </c>
      <c r="AO37" t="s">
        <v>279</v>
      </c>
      <c r="AV37" t="s">
        <v>184</v>
      </c>
      <c r="AW37" t="s">
        <v>280</v>
      </c>
      <c r="AY37" t="s">
        <v>90</v>
      </c>
      <c r="AZ37">
        <v>0.352</v>
      </c>
    </row>
    <row r="38" ht="30.0" customHeight="1">
      <c r="A38" s="11">
        <v>7.000123778E9</v>
      </c>
      <c r="B38" t="s">
        <v>72</v>
      </c>
      <c r="C38" t="s">
        <v>73</v>
      </c>
      <c r="D38" s="11">
        <v>7.000123778E9</v>
      </c>
      <c r="E38" t="s">
        <v>281</v>
      </c>
      <c r="F38" s="11">
        <v>324191.0</v>
      </c>
      <c r="G38" t="str">
        <f t="shared" si="1"/>
        <v>50</v>
      </c>
      <c r="H38" t="s">
        <v>282</v>
      </c>
      <c r="I38" s="12" t="s">
        <v>283</v>
      </c>
      <c r="K38" s="13" t="s">
        <v>126</v>
      </c>
      <c r="L38" s="13">
        <v>12.0</v>
      </c>
      <c r="M38" s="13" t="s">
        <v>261</v>
      </c>
      <c r="N38" s="14">
        <v>5.391</v>
      </c>
      <c r="Q38" s="15" t="s">
        <v>79</v>
      </c>
      <c r="R38" s="16">
        <v>3.2346</v>
      </c>
      <c r="S38" s="17" t="str">
        <f t="shared" si="2"/>
        <v>30.5%</v>
      </c>
      <c r="T38" s="16" t="str">
        <f t="shared" si="8"/>
        <v>4.62</v>
      </c>
      <c r="U38" s="16" t="str">
        <f t="shared" si="4"/>
        <v>4.66</v>
      </c>
      <c r="V38" s="15"/>
      <c r="W38" s="15" t="s">
        <v>262</v>
      </c>
      <c r="X38" s="15">
        <v>30.0</v>
      </c>
      <c r="Y38" s="15" t="s">
        <v>81</v>
      </c>
      <c r="Z38" s="15" t="s">
        <v>82</v>
      </c>
      <c r="AA38" s="15" t="s">
        <v>82</v>
      </c>
      <c r="AB38" s="15" t="s">
        <v>82</v>
      </c>
      <c r="AC38" s="15" t="s">
        <v>82</v>
      </c>
      <c r="AD38" t="s">
        <v>284</v>
      </c>
      <c r="AE38" s="18" t="s">
        <v>285</v>
      </c>
      <c r="AO38" t="s">
        <v>286</v>
      </c>
      <c r="AV38" t="s">
        <v>184</v>
      </c>
      <c r="AW38" t="s">
        <v>287</v>
      </c>
      <c r="AY38" t="s">
        <v>90</v>
      </c>
      <c r="AZ38">
        <v>0.046</v>
      </c>
    </row>
    <row r="39" ht="30.0" customHeight="1">
      <c r="A39" s="11">
        <v>7.000048805E9</v>
      </c>
      <c r="B39" t="s">
        <v>72</v>
      </c>
      <c r="C39" t="s">
        <v>73</v>
      </c>
      <c r="D39" s="11">
        <v>7.000048805E9</v>
      </c>
      <c r="E39" t="s">
        <v>288</v>
      </c>
      <c r="F39" s="11">
        <v>324191.0</v>
      </c>
      <c r="G39" t="str">
        <f t="shared" si="1"/>
        <v>50</v>
      </c>
      <c r="H39" t="s">
        <v>289</v>
      </c>
      <c r="I39" s="12" t="s">
        <v>290</v>
      </c>
      <c r="K39" s="13" t="s">
        <v>126</v>
      </c>
      <c r="L39" s="13">
        <v>12.0</v>
      </c>
      <c r="M39" s="13" t="s">
        <v>261</v>
      </c>
      <c r="N39" s="14">
        <v>19.098</v>
      </c>
      <c r="Q39" s="15" t="s">
        <v>79</v>
      </c>
      <c r="R39" s="16">
        <v>11.4588</v>
      </c>
      <c r="S39" s="17" t="str">
        <f t="shared" si="2"/>
        <v>30.5%</v>
      </c>
      <c r="T39" s="16" t="str">
        <f t="shared" si="8"/>
        <v>16.37</v>
      </c>
      <c r="U39" s="16" t="str">
        <f t="shared" si="4"/>
        <v>16.49</v>
      </c>
      <c r="V39" s="15"/>
      <c r="W39" s="15" t="s">
        <v>262</v>
      </c>
      <c r="X39" s="15">
        <v>30.0</v>
      </c>
      <c r="Y39" s="15" t="s">
        <v>81</v>
      </c>
      <c r="Z39" s="15" t="s">
        <v>82</v>
      </c>
      <c r="AA39" s="15" t="s">
        <v>82</v>
      </c>
      <c r="AB39" s="15" t="s">
        <v>82</v>
      </c>
      <c r="AC39" s="15" t="s">
        <v>82</v>
      </c>
      <c r="AD39" t="s">
        <v>291</v>
      </c>
      <c r="AE39" s="18" t="s">
        <v>292</v>
      </c>
      <c r="AO39" t="s">
        <v>293</v>
      </c>
      <c r="AV39" t="s">
        <v>184</v>
      </c>
      <c r="AW39" t="s">
        <v>294</v>
      </c>
      <c r="AY39" t="s">
        <v>90</v>
      </c>
      <c r="AZ39">
        <v>0.938</v>
      </c>
    </row>
    <row r="40" ht="30.0" customHeight="1">
      <c r="A40" s="11">
        <v>7.000028422E9</v>
      </c>
      <c r="B40" t="s">
        <v>72</v>
      </c>
      <c r="C40" t="s">
        <v>73</v>
      </c>
      <c r="D40" s="11">
        <v>7.000028422E9</v>
      </c>
      <c r="E40" t="s">
        <v>295</v>
      </c>
      <c r="F40" s="11">
        <v>324191.0</v>
      </c>
      <c r="G40" t="str">
        <f t="shared" si="1"/>
        <v>50</v>
      </c>
      <c r="H40" t="s">
        <v>275</v>
      </c>
      <c r="I40" s="12" t="s">
        <v>296</v>
      </c>
      <c r="K40" s="13" t="s">
        <v>126</v>
      </c>
      <c r="L40" s="13">
        <v>48.0</v>
      </c>
      <c r="M40" s="13" t="s">
        <v>261</v>
      </c>
      <c r="N40" s="14">
        <v>7.722</v>
      </c>
      <c r="Q40" s="15" t="s">
        <v>79</v>
      </c>
      <c r="R40" s="16">
        <v>4.6332</v>
      </c>
      <c r="S40" s="17" t="str">
        <f t="shared" si="2"/>
        <v>30.5%</v>
      </c>
      <c r="T40" s="16" t="str">
        <f t="shared" si="8"/>
        <v>6.62</v>
      </c>
      <c r="U40" s="16" t="str">
        <f t="shared" si="4"/>
        <v>6.67</v>
      </c>
      <c r="V40" s="15"/>
      <c r="W40" s="15" t="s">
        <v>262</v>
      </c>
      <c r="X40" s="15">
        <v>30.0</v>
      </c>
      <c r="Y40" s="15" t="s">
        <v>81</v>
      </c>
      <c r="Z40" s="15" t="s">
        <v>82</v>
      </c>
      <c r="AA40" s="15" t="s">
        <v>82</v>
      </c>
      <c r="AB40" s="15" t="s">
        <v>82</v>
      </c>
      <c r="AC40" s="15" t="s">
        <v>82</v>
      </c>
      <c r="AE40" s="18" t="s">
        <v>297</v>
      </c>
      <c r="AO40" t="s">
        <v>298</v>
      </c>
      <c r="AV40" t="s">
        <v>184</v>
      </c>
      <c r="AW40" t="s">
        <v>299</v>
      </c>
      <c r="AY40" t="s">
        <v>90</v>
      </c>
      <c r="AZ40">
        <v>0.35</v>
      </c>
    </row>
    <row r="41" ht="30.0" customHeight="1">
      <c r="A41" s="11">
        <v>7.000120534E9</v>
      </c>
      <c r="B41" t="s">
        <v>72</v>
      </c>
      <c r="C41" t="s">
        <v>73</v>
      </c>
      <c r="D41" s="11">
        <v>7.000120534E9</v>
      </c>
      <c r="E41" t="s">
        <v>300</v>
      </c>
      <c r="F41" s="11">
        <v>324191.0</v>
      </c>
      <c r="G41" t="str">
        <f t="shared" si="1"/>
        <v>50</v>
      </c>
      <c r="H41" t="s">
        <v>301</v>
      </c>
      <c r="I41" s="12" t="s">
        <v>302</v>
      </c>
      <c r="K41" s="13" t="s">
        <v>126</v>
      </c>
      <c r="L41" s="13">
        <v>24.0</v>
      </c>
      <c r="M41" s="13" t="s">
        <v>261</v>
      </c>
      <c r="N41" s="14">
        <v>15.687</v>
      </c>
      <c r="Q41" s="15" t="s">
        <v>79</v>
      </c>
      <c r="R41" s="16">
        <v>9.4122</v>
      </c>
      <c r="S41" s="17" t="str">
        <f t="shared" si="2"/>
        <v>30.5%</v>
      </c>
      <c r="T41" s="16" t="str">
        <f t="shared" si="8"/>
        <v>13.45</v>
      </c>
      <c r="U41" s="16" t="str">
        <f t="shared" si="4"/>
        <v>13.55</v>
      </c>
      <c r="V41" s="15"/>
      <c r="W41" s="15" t="s">
        <v>262</v>
      </c>
      <c r="X41" s="15">
        <v>30.0</v>
      </c>
      <c r="Y41" s="15" t="s">
        <v>81</v>
      </c>
      <c r="Z41" s="15" t="s">
        <v>82</v>
      </c>
      <c r="AA41" s="15" t="s">
        <v>82</v>
      </c>
      <c r="AB41" s="15" t="s">
        <v>82</v>
      </c>
      <c r="AC41" s="15" t="s">
        <v>82</v>
      </c>
      <c r="AE41" s="18" t="s">
        <v>303</v>
      </c>
      <c r="AO41" t="s">
        <v>304</v>
      </c>
      <c r="AV41" t="s">
        <v>184</v>
      </c>
      <c r="AW41" t="s">
        <v>305</v>
      </c>
      <c r="AY41" t="s">
        <v>90</v>
      </c>
      <c r="AZ41">
        <v>0.716</v>
      </c>
    </row>
    <row r="42" ht="30.0" customHeight="1">
      <c r="A42" s="11">
        <v>7.100007214E9</v>
      </c>
      <c r="B42" t="s">
        <v>72</v>
      </c>
      <c r="C42" t="s">
        <v>73</v>
      </c>
      <c r="D42" s="11">
        <v>7.100007214E9</v>
      </c>
      <c r="E42" t="s">
        <v>306</v>
      </c>
      <c r="F42" s="11">
        <v>324191.0</v>
      </c>
      <c r="G42" t="str">
        <f t="shared" si="1"/>
        <v>50</v>
      </c>
      <c r="H42" t="s">
        <v>301</v>
      </c>
      <c r="I42" s="12" t="s">
        <v>307</v>
      </c>
      <c r="K42" s="13" t="s">
        <v>126</v>
      </c>
      <c r="L42" s="13">
        <v>16.0</v>
      </c>
      <c r="M42" s="13" t="s">
        <v>261</v>
      </c>
      <c r="N42" s="14">
        <v>14.247</v>
      </c>
      <c r="Q42" s="15" t="s">
        <v>79</v>
      </c>
      <c r="R42" s="16">
        <v>8.5485</v>
      </c>
      <c r="S42" s="17" t="str">
        <f t="shared" si="2"/>
        <v>30.5%</v>
      </c>
      <c r="T42" s="16" t="str">
        <f t="shared" si="8"/>
        <v>12.21</v>
      </c>
      <c r="U42" s="16" t="str">
        <f t="shared" si="4"/>
        <v>12.30</v>
      </c>
      <c r="V42" s="15"/>
      <c r="W42" s="15" t="s">
        <v>262</v>
      </c>
      <c r="X42" s="15">
        <v>30.0</v>
      </c>
      <c r="Y42" s="15" t="s">
        <v>81</v>
      </c>
      <c r="Z42" s="15" t="s">
        <v>82</v>
      </c>
      <c r="AA42" s="15" t="s">
        <v>82</v>
      </c>
      <c r="AB42" s="15" t="s">
        <v>82</v>
      </c>
      <c r="AC42" s="15" t="s">
        <v>82</v>
      </c>
      <c r="AD42" t="s">
        <v>308</v>
      </c>
      <c r="AE42" s="18" t="s">
        <v>309</v>
      </c>
      <c r="AO42" t="s">
        <v>310</v>
      </c>
      <c r="AV42" t="s">
        <v>184</v>
      </c>
      <c r="AW42" t="s">
        <v>305</v>
      </c>
      <c r="AY42" t="s">
        <v>90</v>
      </c>
      <c r="AZ42">
        <v>0.707</v>
      </c>
    </row>
    <row r="43" ht="30.0" customHeight="1">
      <c r="A43" s="11">
        <v>7.000123776E9</v>
      </c>
      <c r="B43" t="s">
        <v>72</v>
      </c>
      <c r="C43" t="s">
        <v>73</v>
      </c>
      <c r="D43" s="11">
        <v>7.000123776E9</v>
      </c>
      <c r="E43" t="s">
        <v>311</v>
      </c>
      <c r="F43" s="11">
        <v>324191.0</v>
      </c>
      <c r="G43" t="str">
        <f t="shared" si="1"/>
        <v>50</v>
      </c>
      <c r="H43" t="s">
        <v>312</v>
      </c>
      <c r="I43" s="12" t="s">
        <v>313</v>
      </c>
      <c r="K43" s="13" t="s">
        <v>126</v>
      </c>
      <c r="L43" s="13">
        <v>8.0</v>
      </c>
      <c r="M43" s="13" t="s">
        <v>261</v>
      </c>
      <c r="N43" s="14">
        <v>30.213</v>
      </c>
      <c r="Q43" s="15" t="s">
        <v>79</v>
      </c>
      <c r="R43" s="16">
        <v>18.1278</v>
      </c>
      <c r="S43" s="17" t="str">
        <f t="shared" si="2"/>
        <v>30.5%</v>
      </c>
      <c r="T43" s="16" t="str">
        <f t="shared" si="8"/>
        <v>25.90</v>
      </c>
      <c r="U43" s="16" t="str">
        <f t="shared" si="4"/>
        <v>26.09</v>
      </c>
      <c r="V43" s="15"/>
      <c r="W43" s="15" t="s">
        <v>262</v>
      </c>
      <c r="X43" s="15">
        <v>30.0</v>
      </c>
      <c r="Y43" s="15" t="s">
        <v>81</v>
      </c>
      <c r="Z43" s="15" t="s">
        <v>82</v>
      </c>
      <c r="AA43" s="15" t="s">
        <v>82</v>
      </c>
      <c r="AB43" s="15" t="s">
        <v>82</v>
      </c>
      <c r="AC43" s="15" t="s">
        <v>82</v>
      </c>
      <c r="AD43" t="s">
        <v>314</v>
      </c>
      <c r="AE43" s="18" t="s">
        <v>315</v>
      </c>
      <c r="AO43" t="s">
        <v>316</v>
      </c>
      <c r="AV43" t="s">
        <v>184</v>
      </c>
      <c r="AW43" t="s">
        <v>155</v>
      </c>
      <c r="AY43" t="s">
        <v>90</v>
      </c>
      <c r="AZ43">
        <v>1.408</v>
      </c>
    </row>
    <row r="44" ht="30.0" customHeight="1">
      <c r="A44" s="11">
        <v>7.000048803E9</v>
      </c>
      <c r="B44" t="s">
        <v>72</v>
      </c>
      <c r="C44" t="s">
        <v>73</v>
      </c>
      <c r="D44" s="11">
        <v>7.000048803E9</v>
      </c>
      <c r="E44" t="s">
        <v>317</v>
      </c>
      <c r="F44" s="11">
        <v>324191.0</v>
      </c>
      <c r="G44" t="str">
        <f t="shared" si="1"/>
        <v>50</v>
      </c>
      <c r="H44" t="s">
        <v>318</v>
      </c>
      <c r="I44" s="12" t="s">
        <v>319</v>
      </c>
      <c r="K44" s="13" t="s">
        <v>126</v>
      </c>
      <c r="L44" s="13">
        <v>48.0</v>
      </c>
      <c r="M44" s="13" t="s">
        <v>261</v>
      </c>
      <c r="N44" s="14">
        <v>5.517</v>
      </c>
      <c r="Q44" s="15" t="s">
        <v>79</v>
      </c>
      <c r="R44" s="16">
        <v>3.3102</v>
      </c>
      <c r="S44" s="17" t="str">
        <f t="shared" si="2"/>
        <v>30.5%</v>
      </c>
      <c r="T44" s="16" t="str">
        <f t="shared" si="8"/>
        <v>4.73</v>
      </c>
      <c r="U44" s="16" t="str">
        <f t="shared" si="4"/>
        <v>4.76</v>
      </c>
      <c r="V44" s="15"/>
      <c r="W44" s="15" t="s">
        <v>262</v>
      </c>
      <c r="X44" s="15">
        <v>30.0</v>
      </c>
      <c r="Y44" s="15" t="s">
        <v>81</v>
      </c>
      <c r="Z44" s="15" t="s">
        <v>82</v>
      </c>
      <c r="AA44" s="15" t="s">
        <v>82</v>
      </c>
      <c r="AB44" s="15" t="s">
        <v>82</v>
      </c>
      <c r="AC44" s="15" t="s">
        <v>82</v>
      </c>
      <c r="AD44" t="s">
        <v>320</v>
      </c>
      <c r="AE44" s="18" t="s">
        <v>321</v>
      </c>
      <c r="AO44" t="s">
        <v>322</v>
      </c>
      <c r="AV44" t="s">
        <v>184</v>
      </c>
      <c r="AW44" t="s">
        <v>323</v>
      </c>
      <c r="AY44" t="s">
        <v>90</v>
      </c>
      <c r="AZ44">
        <v>0.235</v>
      </c>
    </row>
    <row r="45" ht="30.0" customHeight="1">
      <c r="A45" s="11">
        <v>7.000048804E9</v>
      </c>
      <c r="B45" t="s">
        <v>72</v>
      </c>
      <c r="C45" t="s">
        <v>73</v>
      </c>
      <c r="D45" s="11">
        <v>7.000048804E9</v>
      </c>
      <c r="E45" t="s">
        <v>324</v>
      </c>
      <c r="F45" s="11">
        <v>324191.0</v>
      </c>
      <c r="G45" t="str">
        <f t="shared" si="1"/>
        <v>50</v>
      </c>
      <c r="H45" t="s">
        <v>325</v>
      </c>
      <c r="I45" s="12" t="s">
        <v>326</v>
      </c>
      <c r="K45" s="13" t="s">
        <v>126</v>
      </c>
      <c r="L45" s="13">
        <v>24.0</v>
      </c>
      <c r="M45" s="13" t="s">
        <v>261</v>
      </c>
      <c r="N45" s="14">
        <v>9.801</v>
      </c>
      <c r="Q45" s="15" t="s">
        <v>79</v>
      </c>
      <c r="R45" s="16">
        <v>5.8806</v>
      </c>
      <c r="S45" s="17" t="str">
        <f t="shared" si="2"/>
        <v>30.5%</v>
      </c>
      <c r="T45" s="16" t="str">
        <f t="shared" si="8"/>
        <v>8.40</v>
      </c>
      <c r="U45" s="16" t="str">
        <f t="shared" si="4"/>
        <v>8.46</v>
      </c>
      <c r="V45" s="15"/>
      <c r="W45" s="15" t="s">
        <v>262</v>
      </c>
      <c r="X45" s="15">
        <v>30.0</v>
      </c>
      <c r="Y45" s="15" t="s">
        <v>81</v>
      </c>
      <c r="Z45" s="15" t="s">
        <v>82</v>
      </c>
      <c r="AA45" s="15" t="s">
        <v>82</v>
      </c>
      <c r="AB45" s="15" t="s">
        <v>82</v>
      </c>
      <c r="AC45" s="15" t="s">
        <v>82</v>
      </c>
      <c r="AD45" t="s">
        <v>327</v>
      </c>
      <c r="AE45" s="18" t="s">
        <v>328</v>
      </c>
      <c r="AO45" t="s">
        <v>329</v>
      </c>
      <c r="AV45" t="s">
        <v>184</v>
      </c>
      <c r="AW45" t="s">
        <v>330</v>
      </c>
      <c r="AY45" t="s">
        <v>90</v>
      </c>
      <c r="AZ45">
        <v>0.5</v>
      </c>
    </row>
    <row r="46" ht="30.0" customHeight="1">
      <c r="A46" s="11">
        <v>7.100202863E9</v>
      </c>
      <c r="B46" t="s">
        <v>72</v>
      </c>
      <c r="C46" t="s">
        <v>73</v>
      </c>
      <c r="D46" s="11" t="s">
        <v>331</v>
      </c>
      <c r="E46" s="11" t="s">
        <v>332</v>
      </c>
      <c r="F46" s="11">
        <v>332999.0</v>
      </c>
      <c r="G46" t="str">
        <f t="shared" si="1"/>
        <v>48</v>
      </c>
      <c r="H46" t="s">
        <v>333</v>
      </c>
      <c r="I46" s="12" t="s">
        <v>334</v>
      </c>
      <c r="K46" s="13" t="s">
        <v>89</v>
      </c>
      <c r="L46" s="13">
        <v>1.0</v>
      </c>
      <c r="M46" s="13" t="s">
        <v>90</v>
      </c>
      <c r="N46" s="13">
        <v>1503.82</v>
      </c>
      <c r="Q46" s="15" t="s">
        <v>79</v>
      </c>
      <c r="R46" s="16">
        <v>902.292</v>
      </c>
      <c r="S46" s="17" t="str">
        <f t="shared" si="2"/>
        <v>10.7%</v>
      </c>
      <c r="T46" s="16" t="str">
        <f t="shared" ref="T46:T48" si="9">R46/0.9</f>
        <v>1002.55</v>
      </c>
      <c r="U46" s="16" t="str">
        <f t="shared" si="4"/>
        <v>1010.07</v>
      </c>
      <c r="V46" s="15"/>
      <c r="W46" s="15" t="s">
        <v>80</v>
      </c>
      <c r="X46" s="15">
        <v>30.0</v>
      </c>
      <c r="Y46" s="15" t="s">
        <v>81</v>
      </c>
      <c r="Z46" s="15" t="s">
        <v>82</v>
      </c>
      <c r="AA46" s="15" t="s">
        <v>82</v>
      </c>
      <c r="AB46" s="15" t="s">
        <v>82</v>
      </c>
      <c r="AC46" s="15" t="s">
        <v>82</v>
      </c>
      <c r="AE46" s="18" t="s">
        <v>335</v>
      </c>
      <c r="AO46" t="s">
        <v>336</v>
      </c>
      <c r="AP46" t="s">
        <v>337</v>
      </c>
      <c r="AY46" t="s">
        <v>90</v>
      </c>
      <c r="AZ46">
        <v>4.478</v>
      </c>
    </row>
    <row r="47" ht="30.0" customHeight="1">
      <c r="A47" s="11">
        <v>7.100202857E9</v>
      </c>
      <c r="B47" t="s">
        <v>72</v>
      </c>
      <c r="C47" t="s">
        <v>73</v>
      </c>
      <c r="D47" s="11" t="s">
        <v>338</v>
      </c>
      <c r="E47" s="11" t="s">
        <v>339</v>
      </c>
      <c r="F47" s="11">
        <v>332999.0</v>
      </c>
      <c r="G47" t="str">
        <f t="shared" si="1"/>
        <v>47</v>
      </c>
      <c r="H47" t="s">
        <v>340</v>
      </c>
      <c r="I47" s="12" t="s">
        <v>341</v>
      </c>
      <c r="K47" s="13" t="s">
        <v>89</v>
      </c>
      <c r="L47" s="13">
        <v>1.0</v>
      </c>
      <c r="M47" s="13" t="s">
        <v>90</v>
      </c>
      <c r="N47" s="13">
        <v>1774.46</v>
      </c>
      <c r="Q47" s="15" t="s">
        <v>79</v>
      </c>
      <c r="R47" s="16">
        <v>1064.676</v>
      </c>
      <c r="S47" s="17" t="str">
        <f t="shared" si="2"/>
        <v>10.7%</v>
      </c>
      <c r="T47" s="16" t="str">
        <f t="shared" si="9"/>
        <v>1182.97</v>
      </c>
      <c r="U47" s="16" t="str">
        <f t="shared" si="4"/>
        <v>1191.85</v>
      </c>
      <c r="V47" s="15"/>
      <c r="W47" s="15" t="s">
        <v>80</v>
      </c>
      <c r="X47" s="15">
        <v>30.0</v>
      </c>
      <c r="Y47" s="15" t="s">
        <v>81</v>
      </c>
      <c r="Z47" s="15" t="s">
        <v>82</v>
      </c>
      <c r="AA47" s="15" t="s">
        <v>82</v>
      </c>
      <c r="AB47" s="15" t="s">
        <v>82</v>
      </c>
      <c r="AC47" s="15" t="s">
        <v>82</v>
      </c>
      <c r="AE47" s="18" t="s">
        <v>342</v>
      </c>
      <c r="AO47" t="s">
        <v>343</v>
      </c>
      <c r="AY47" t="s">
        <v>90</v>
      </c>
      <c r="AZ47">
        <v>4.478</v>
      </c>
    </row>
    <row r="48" ht="30.0" customHeight="1">
      <c r="A48" s="11">
        <v>7.100202848E9</v>
      </c>
      <c r="B48" t="s">
        <v>72</v>
      </c>
      <c r="C48" t="s">
        <v>73</v>
      </c>
      <c r="D48" s="11" t="s">
        <v>344</v>
      </c>
      <c r="E48" s="11" t="s">
        <v>345</v>
      </c>
      <c r="F48" s="11">
        <v>332999.0</v>
      </c>
      <c r="G48" t="str">
        <f t="shared" si="1"/>
        <v>47</v>
      </c>
      <c r="H48" t="s">
        <v>346</v>
      </c>
      <c r="I48" s="12" t="s">
        <v>347</v>
      </c>
      <c r="K48" s="13" t="s">
        <v>89</v>
      </c>
      <c r="L48" s="13">
        <v>1.0</v>
      </c>
      <c r="M48" s="13" t="s">
        <v>90</v>
      </c>
      <c r="N48" s="13">
        <v>926.49</v>
      </c>
      <c r="Q48" s="15" t="s">
        <v>79</v>
      </c>
      <c r="R48" s="16">
        <v>555.894</v>
      </c>
      <c r="S48" s="17" t="str">
        <f t="shared" si="2"/>
        <v>10.7%</v>
      </c>
      <c r="T48" s="16" t="str">
        <f t="shared" si="9"/>
        <v>617.66</v>
      </c>
      <c r="U48" s="16" t="str">
        <f t="shared" si="4"/>
        <v>622.29</v>
      </c>
      <c r="V48" s="15"/>
      <c r="W48" s="15" t="s">
        <v>80</v>
      </c>
      <c r="X48" s="15">
        <v>15.0</v>
      </c>
      <c r="Y48" s="15" t="s">
        <v>81</v>
      </c>
      <c r="Z48" s="15" t="s">
        <v>82</v>
      </c>
      <c r="AA48" s="15" t="s">
        <v>82</v>
      </c>
      <c r="AB48" s="15" t="s">
        <v>82</v>
      </c>
      <c r="AC48" s="15" t="s">
        <v>82</v>
      </c>
      <c r="AE48" s="18" t="s">
        <v>348</v>
      </c>
      <c r="AO48" t="s">
        <v>349</v>
      </c>
      <c r="AY48" t="s">
        <v>90</v>
      </c>
      <c r="AZ48">
        <v>4.478</v>
      </c>
    </row>
    <row r="49" ht="30.0" customHeight="1">
      <c r="A49" s="11">
        <v>7.100202855E9</v>
      </c>
      <c r="B49" t="s">
        <v>72</v>
      </c>
      <c r="C49" t="s">
        <v>73</v>
      </c>
      <c r="D49" s="11" t="s">
        <v>350</v>
      </c>
      <c r="E49" s="11" t="s">
        <v>351</v>
      </c>
      <c r="F49" s="11">
        <v>332999.0</v>
      </c>
      <c r="G49" t="str">
        <f t="shared" si="1"/>
        <v>50</v>
      </c>
      <c r="H49" t="s">
        <v>352</v>
      </c>
      <c r="I49" s="12" t="s">
        <v>353</v>
      </c>
      <c r="K49" s="13" t="s">
        <v>89</v>
      </c>
      <c r="L49" s="13">
        <v>1.0</v>
      </c>
      <c r="M49" s="13" t="s">
        <v>90</v>
      </c>
      <c r="N49" s="13">
        <v>1503.82</v>
      </c>
      <c r="Q49" s="15" t="s">
        <v>79</v>
      </c>
      <c r="R49" s="16">
        <v>902.292</v>
      </c>
      <c r="S49" s="17" t="str">
        <f t="shared" si="2"/>
        <v>10.2%</v>
      </c>
      <c r="T49" s="16" t="str">
        <f>R49/0.905</f>
        <v>997.01</v>
      </c>
      <c r="U49" s="16" t="str">
        <f t="shared" si="4"/>
        <v>1004.49</v>
      </c>
      <c r="V49" s="15"/>
      <c r="W49" s="15" t="s">
        <v>80</v>
      </c>
      <c r="X49" s="15">
        <v>30.0</v>
      </c>
      <c r="Y49" s="15" t="s">
        <v>81</v>
      </c>
      <c r="Z49" s="15" t="s">
        <v>82</v>
      </c>
      <c r="AA49" s="15" t="s">
        <v>82</v>
      </c>
      <c r="AB49" s="15" t="s">
        <v>82</v>
      </c>
      <c r="AC49" s="15" t="s">
        <v>82</v>
      </c>
      <c r="AE49" s="21" t="s">
        <v>354</v>
      </c>
      <c r="AO49" t="s">
        <v>355</v>
      </c>
      <c r="AY49" t="s">
        <v>90</v>
      </c>
      <c r="AZ49">
        <v>4.478</v>
      </c>
    </row>
    <row r="50" ht="30.0" customHeight="1">
      <c r="A50" s="11" t="s">
        <v>356</v>
      </c>
      <c r="B50" t="s">
        <v>72</v>
      </c>
      <c r="C50" t="s">
        <v>73</v>
      </c>
      <c r="D50" s="11" t="s">
        <v>356</v>
      </c>
      <c r="E50" s="11" t="s">
        <v>357</v>
      </c>
      <c r="F50" s="11">
        <v>332999.0</v>
      </c>
      <c r="G50" t="str">
        <f t="shared" si="1"/>
        <v>49</v>
      </c>
      <c r="H50" t="s">
        <v>358</v>
      </c>
      <c r="I50" s="12" t="s">
        <v>359</v>
      </c>
      <c r="K50" s="13" t="s">
        <v>89</v>
      </c>
      <c r="L50" s="13">
        <v>1.0</v>
      </c>
      <c r="M50" s="13" t="s">
        <v>90</v>
      </c>
      <c r="N50" s="13">
        <v>249.53</v>
      </c>
      <c r="Q50" s="15" t="s">
        <v>79</v>
      </c>
      <c r="R50" s="15">
        <v>149.718</v>
      </c>
      <c r="S50" s="17" t="str">
        <f t="shared" si="2"/>
        <v>6.7%</v>
      </c>
      <c r="T50" s="16" t="str">
        <f>R50/0.94</f>
        <v>159.27</v>
      </c>
      <c r="U50" s="16" t="str">
        <f t="shared" si="4"/>
        <v>160.47</v>
      </c>
      <c r="V50" s="15"/>
      <c r="W50" s="15" t="s">
        <v>80</v>
      </c>
      <c r="X50" s="15">
        <v>30.0</v>
      </c>
      <c r="Y50" s="15" t="s">
        <v>81</v>
      </c>
      <c r="Z50" s="15" t="s">
        <v>82</v>
      </c>
      <c r="AA50" s="15" t="s">
        <v>82</v>
      </c>
      <c r="AB50" s="15" t="s">
        <v>82</v>
      </c>
      <c r="AC50" s="15" t="s">
        <v>82</v>
      </c>
      <c r="AE50" s="18" t="s">
        <v>360</v>
      </c>
      <c r="AO50" t="s">
        <v>361</v>
      </c>
      <c r="AY50" t="s">
        <v>90</v>
      </c>
      <c r="AZ50">
        <v>1.145</v>
      </c>
    </row>
    <row r="51" ht="30.0" customHeight="1">
      <c r="A51" s="11" t="s">
        <v>362</v>
      </c>
      <c r="B51" t="s">
        <v>72</v>
      </c>
      <c r="C51" t="s">
        <v>73</v>
      </c>
      <c r="D51" s="11" t="s">
        <v>362</v>
      </c>
      <c r="E51" s="11" t="s">
        <v>363</v>
      </c>
      <c r="F51" s="11">
        <v>332999.0</v>
      </c>
      <c r="G51" t="str">
        <f t="shared" si="1"/>
        <v>50</v>
      </c>
      <c r="H51" t="s">
        <v>364</v>
      </c>
      <c r="I51" s="12" t="s">
        <v>364</v>
      </c>
      <c r="K51" s="13" t="s">
        <v>89</v>
      </c>
      <c r="L51" s="13">
        <v>1.0</v>
      </c>
      <c r="M51" s="13" t="s">
        <v>90</v>
      </c>
      <c r="N51" s="13">
        <v>1533.64</v>
      </c>
      <c r="Q51" s="15" t="s">
        <v>79</v>
      </c>
      <c r="R51" s="15">
        <v>920.184</v>
      </c>
      <c r="S51" s="17" t="str">
        <f t="shared" si="2"/>
        <v>5.7%</v>
      </c>
      <c r="T51" s="16" t="str">
        <f>R51/0.95</f>
        <v>968.61</v>
      </c>
      <c r="U51" s="16" t="str">
        <f t="shared" si="4"/>
        <v>975.88</v>
      </c>
      <c r="V51" s="15"/>
      <c r="W51" s="15" t="s">
        <v>80</v>
      </c>
      <c r="X51" s="15">
        <v>30.0</v>
      </c>
      <c r="Y51" s="15" t="s">
        <v>81</v>
      </c>
      <c r="Z51" s="15" t="s">
        <v>82</v>
      </c>
      <c r="AA51" s="15" t="s">
        <v>82</v>
      </c>
      <c r="AB51" s="15" t="s">
        <v>82</v>
      </c>
      <c r="AC51" s="15" t="s">
        <v>82</v>
      </c>
      <c r="AD51" t="s">
        <v>365</v>
      </c>
      <c r="AE51" s="18" t="s">
        <v>366</v>
      </c>
      <c r="AO51" t="s">
        <v>367</v>
      </c>
      <c r="AY51" t="s">
        <v>90</v>
      </c>
      <c r="AZ51">
        <v>3.205</v>
      </c>
    </row>
    <row r="52" ht="30.0" customHeight="1">
      <c r="A52" s="11" t="s">
        <v>368</v>
      </c>
      <c r="B52" t="s">
        <v>72</v>
      </c>
      <c r="C52" t="s">
        <v>73</v>
      </c>
      <c r="D52" s="11" t="s">
        <v>368</v>
      </c>
      <c r="E52" s="11" t="s">
        <v>369</v>
      </c>
      <c r="F52" s="11">
        <v>332999.0</v>
      </c>
      <c r="G52" t="str">
        <f t="shared" si="1"/>
        <v>49</v>
      </c>
      <c r="H52" t="s">
        <v>370</v>
      </c>
      <c r="I52" s="12" t="s">
        <v>371</v>
      </c>
      <c r="K52" s="13" t="s">
        <v>89</v>
      </c>
      <c r="L52" s="13">
        <v>1.0</v>
      </c>
      <c r="M52" s="13" t="s">
        <v>90</v>
      </c>
      <c r="N52" s="13">
        <v>926.49</v>
      </c>
      <c r="Q52" s="15" t="s">
        <v>79</v>
      </c>
      <c r="R52" s="15">
        <v>555.894</v>
      </c>
      <c r="S52" s="17" t="str">
        <f t="shared" si="2"/>
        <v>10.7%</v>
      </c>
      <c r="T52" s="16" t="str">
        <f>R52/0.9</f>
        <v>617.66</v>
      </c>
      <c r="U52" s="16" t="str">
        <f t="shared" si="4"/>
        <v>622.29</v>
      </c>
      <c r="V52" s="15"/>
      <c r="W52" s="15" t="s">
        <v>80</v>
      </c>
      <c r="X52" s="15">
        <v>30.0</v>
      </c>
      <c r="Y52" s="15" t="s">
        <v>81</v>
      </c>
      <c r="Z52" s="15" t="s">
        <v>82</v>
      </c>
      <c r="AA52" s="15" t="s">
        <v>82</v>
      </c>
      <c r="AB52" s="15" t="s">
        <v>82</v>
      </c>
      <c r="AC52" s="15" t="s">
        <v>82</v>
      </c>
      <c r="AE52" s="18" t="s">
        <v>372</v>
      </c>
      <c r="AO52" t="s">
        <v>373</v>
      </c>
      <c r="AY52" t="s">
        <v>90</v>
      </c>
      <c r="AZ52">
        <v>4.478</v>
      </c>
    </row>
    <row r="53" ht="30.0" customHeight="1">
      <c r="A53" s="11">
        <v>7.012815817E9</v>
      </c>
      <c r="B53" t="s">
        <v>72</v>
      </c>
      <c r="C53" t="s">
        <v>73</v>
      </c>
      <c r="D53" s="11">
        <v>7.012815817E9</v>
      </c>
      <c r="E53" s="11" t="s">
        <v>374</v>
      </c>
      <c r="F53" t="s">
        <v>86</v>
      </c>
      <c r="G53" t="str">
        <f t="shared" si="1"/>
        <v>48</v>
      </c>
      <c r="H53" t="s">
        <v>375</v>
      </c>
      <c r="I53" s="12" t="s">
        <v>376</v>
      </c>
      <c r="K53" s="13" t="s">
        <v>89</v>
      </c>
      <c r="L53" s="13">
        <v>1.0</v>
      </c>
      <c r="M53" s="13" t="s">
        <v>90</v>
      </c>
      <c r="N53" s="13">
        <v>918.06</v>
      </c>
      <c r="Q53" s="15" t="s">
        <v>79</v>
      </c>
      <c r="R53" s="15">
        <v>550.836</v>
      </c>
      <c r="S53" s="17" t="str">
        <f t="shared" si="2"/>
        <v>9.2%</v>
      </c>
      <c r="T53" s="16" t="str">
        <f t="shared" ref="T53:T54" si="10">R53/0.915</f>
        <v>602.01</v>
      </c>
      <c r="U53" s="16" t="str">
        <f t="shared" si="4"/>
        <v>606.52</v>
      </c>
      <c r="V53" s="15"/>
      <c r="W53" s="15" t="s">
        <v>80</v>
      </c>
      <c r="X53" s="15">
        <v>30.0</v>
      </c>
      <c r="Y53" s="15" t="s">
        <v>81</v>
      </c>
      <c r="Z53" s="15" t="s">
        <v>82</v>
      </c>
      <c r="AA53" s="15" t="s">
        <v>82</v>
      </c>
      <c r="AB53" s="15" t="s">
        <v>82</v>
      </c>
      <c r="AC53" s="15" t="s">
        <v>82</v>
      </c>
      <c r="AD53" t="s">
        <v>377</v>
      </c>
      <c r="AE53" s="21" t="s">
        <v>378</v>
      </c>
      <c r="AO53" t="s">
        <v>379</v>
      </c>
      <c r="AY53" t="s">
        <v>90</v>
      </c>
      <c r="AZ53">
        <v>3.6</v>
      </c>
    </row>
    <row r="54" ht="30.0" customHeight="1">
      <c r="A54" s="11">
        <v>7.012815815E9</v>
      </c>
      <c r="B54" t="s">
        <v>72</v>
      </c>
      <c r="C54" t="s">
        <v>73</v>
      </c>
      <c r="D54" s="11">
        <v>7.012815815E9</v>
      </c>
      <c r="E54" s="11" t="s">
        <v>380</v>
      </c>
      <c r="F54" t="s">
        <v>86</v>
      </c>
      <c r="G54" t="str">
        <f t="shared" si="1"/>
        <v>47</v>
      </c>
      <c r="H54" t="s">
        <v>381</v>
      </c>
      <c r="I54" s="12" t="s">
        <v>382</v>
      </c>
      <c r="K54" s="13" t="s">
        <v>89</v>
      </c>
      <c r="L54" s="13">
        <v>1.0</v>
      </c>
      <c r="M54" s="13" t="s">
        <v>90</v>
      </c>
      <c r="N54" s="13">
        <v>918.06</v>
      </c>
      <c r="Q54" s="15" t="s">
        <v>79</v>
      </c>
      <c r="R54" s="15">
        <v>550.836</v>
      </c>
      <c r="S54" s="17" t="str">
        <f t="shared" si="2"/>
        <v>9.2%</v>
      </c>
      <c r="T54" s="16" t="str">
        <f t="shared" si="10"/>
        <v>602.01</v>
      </c>
      <c r="U54" s="16" t="str">
        <f t="shared" si="4"/>
        <v>606.52</v>
      </c>
      <c r="V54" s="15"/>
      <c r="W54" s="15" t="s">
        <v>80</v>
      </c>
      <c r="X54" s="15">
        <v>30.0</v>
      </c>
      <c r="Y54" s="15" t="s">
        <v>81</v>
      </c>
      <c r="Z54" s="15" t="s">
        <v>82</v>
      </c>
      <c r="AA54" s="15" t="s">
        <v>82</v>
      </c>
      <c r="AB54" s="15" t="s">
        <v>82</v>
      </c>
      <c r="AC54" s="15" t="s">
        <v>82</v>
      </c>
      <c r="AD54" t="s">
        <v>383</v>
      </c>
      <c r="AE54" s="18" t="s">
        <v>384</v>
      </c>
      <c r="AO54" t="s">
        <v>385</v>
      </c>
      <c r="AY54" t="s">
        <v>90</v>
      </c>
      <c r="AZ54">
        <v>3.6</v>
      </c>
    </row>
    <row r="55" ht="30.0" customHeight="1">
      <c r="A55" s="11">
        <v>7.012816115E9</v>
      </c>
      <c r="B55" t="s">
        <v>72</v>
      </c>
      <c r="C55" t="s">
        <v>73</v>
      </c>
      <c r="D55" s="11">
        <v>7.012816115E9</v>
      </c>
      <c r="E55" s="11" t="s">
        <v>386</v>
      </c>
      <c r="F55" t="s">
        <v>86</v>
      </c>
      <c r="G55" t="str">
        <f t="shared" si="1"/>
        <v>50</v>
      </c>
      <c r="H55" t="s">
        <v>387</v>
      </c>
      <c r="I55" s="12" t="s">
        <v>388</v>
      </c>
      <c r="K55" s="13" t="s">
        <v>89</v>
      </c>
      <c r="L55" s="13">
        <v>1.0</v>
      </c>
      <c r="M55" s="13" t="s">
        <v>90</v>
      </c>
      <c r="N55" s="13">
        <v>622.49</v>
      </c>
      <c r="Q55" s="15" t="s">
        <v>79</v>
      </c>
      <c r="R55" s="15">
        <v>373.494</v>
      </c>
      <c r="S55" s="17" t="str">
        <f t="shared" si="2"/>
        <v>23.6%</v>
      </c>
      <c r="T55" s="16" t="str">
        <f t="shared" ref="T55:T56" si="11">R55/0.77</f>
        <v>485.06</v>
      </c>
      <c r="U55" s="16" t="str">
        <f t="shared" si="4"/>
        <v>488.70</v>
      </c>
      <c r="V55" s="15"/>
      <c r="W55" s="15" t="s">
        <v>80</v>
      </c>
      <c r="X55" s="15">
        <v>30.0</v>
      </c>
      <c r="Y55" s="15" t="s">
        <v>81</v>
      </c>
      <c r="Z55" s="15" t="s">
        <v>82</v>
      </c>
      <c r="AA55" s="15" t="s">
        <v>82</v>
      </c>
      <c r="AB55" s="15" t="s">
        <v>82</v>
      </c>
      <c r="AC55" s="15" t="s">
        <v>82</v>
      </c>
      <c r="AD55" t="s">
        <v>389</v>
      </c>
      <c r="AE55" s="18" t="s">
        <v>390</v>
      </c>
      <c r="AO55" t="s">
        <v>391</v>
      </c>
      <c r="AP55" t="s">
        <v>392</v>
      </c>
      <c r="AY55" t="s">
        <v>90</v>
      </c>
      <c r="AZ55">
        <v>4.827</v>
      </c>
    </row>
    <row r="56" ht="30.0" customHeight="1">
      <c r="A56" s="11">
        <v>7.012816112E9</v>
      </c>
      <c r="B56" t="s">
        <v>72</v>
      </c>
      <c r="C56" t="s">
        <v>73</v>
      </c>
      <c r="D56" s="11">
        <v>7.012816112E9</v>
      </c>
      <c r="E56" s="11" t="s">
        <v>393</v>
      </c>
      <c r="F56" t="s">
        <v>86</v>
      </c>
      <c r="G56" t="str">
        <f t="shared" si="1"/>
        <v>50</v>
      </c>
      <c r="H56" t="s">
        <v>394</v>
      </c>
      <c r="I56" s="12" t="s">
        <v>395</v>
      </c>
      <c r="K56" s="13" t="s">
        <v>89</v>
      </c>
      <c r="L56" s="13">
        <v>1.0</v>
      </c>
      <c r="M56" s="13" t="s">
        <v>90</v>
      </c>
      <c r="N56" s="13">
        <v>622.49</v>
      </c>
      <c r="Q56" s="15" t="s">
        <v>79</v>
      </c>
      <c r="R56" s="15">
        <v>373.494</v>
      </c>
      <c r="S56" s="17" t="str">
        <f t="shared" si="2"/>
        <v>23.6%</v>
      </c>
      <c r="T56" s="16" t="str">
        <f t="shared" si="11"/>
        <v>485.06</v>
      </c>
      <c r="U56" s="16" t="str">
        <f t="shared" si="4"/>
        <v>488.70</v>
      </c>
      <c r="V56" s="15"/>
      <c r="W56" s="15" t="s">
        <v>80</v>
      </c>
      <c r="X56" s="15">
        <v>30.0</v>
      </c>
      <c r="Y56" s="15" t="s">
        <v>81</v>
      </c>
      <c r="Z56" s="15" t="s">
        <v>82</v>
      </c>
      <c r="AA56" s="15" t="s">
        <v>82</v>
      </c>
      <c r="AB56" s="15" t="s">
        <v>82</v>
      </c>
      <c r="AC56" s="15" t="s">
        <v>82</v>
      </c>
      <c r="AD56" t="s">
        <v>396</v>
      </c>
      <c r="AE56" s="18" t="s">
        <v>397</v>
      </c>
      <c r="AO56" t="s">
        <v>398</v>
      </c>
      <c r="AP56" t="s">
        <v>399</v>
      </c>
      <c r="AY56" t="s">
        <v>90</v>
      </c>
      <c r="AZ56">
        <v>4.757</v>
      </c>
    </row>
    <row r="57" ht="30.0" customHeight="1">
      <c r="A57" s="11">
        <v>7.012818032E9</v>
      </c>
      <c r="B57" t="s">
        <v>72</v>
      </c>
      <c r="C57" t="s">
        <v>73</v>
      </c>
      <c r="D57" s="11">
        <v>7.012818032E9</v>
      </c>
      <c r="E57" s="11" t="s">
        <v>400</v>
      </c>
      <c r="F57" t="s">
        <v>86</v>
      </c>
      <c r="G57" t="str">
        <f t="shared" si="1"/>
        <v>52</v>
      </c>
      <c r="H57" t="s">
        <v>401</v>
      </c>
      <c r="I57" s="12" t="s">
        <v>402</v>
      </c>
      <c r="K57" s="13" t="s">
        <v>89</v>
      </c>
      <c r="L57" s="13">
        <v>1.0</v>
      </c>
      <c r="M57" s="13" t="s">
        <v>90</v>
      </c>
      <c r="N57" s="13">
        <v>650.89</v>
      </c>
      <c r="Q57" s="15" t="s">
        <v>79</v>
      </c>
      <c r="R57" s="15">
        <v>390.534</v>
      </c>
      <c r="S57" s="17" t="str">
        <f t="shared" si="2"/>
        <v>18.6%</v>
      </c>
      <c r="T57" s="16" t="str">
        <f>R57/0.82</f>
        <v>476.26</v>
      </c>
      <c r="U57" s="16" t="str">
        <f t="shared" si="4"/>
        <v>479.83</v>
      </c>
      <c r="V57" s="15"/>
      <c r="W57" s="15" t="s">
        <v>80</v>
      </c>
      <c r="X57" s="15">
        <v>30.0</v>
      </c>
      <c r="Y57" s="15" t="s">
        <v>81</v>
      </c>
      <c r="Z57" s="15" t="s">
        <v>82</v>
      </c>
      <c r="AA57" s="15" t="s">
        <v>82</v>
      </c>
      <c r="AB57" s="15" t="s">
        <v>82</v>
      </c>
      <c r="AC57" s="15" t="s">
        <v>82</v>
      </c>
      <c r="AD57" t="s">
        <v>403</v>
      </c>
      <c r="AE57" s="18" t="s">
        <v>404</v>
      </c>
      <c r="AO57" t="s">
        <v>405</v>
      </c>
      <c r="AP57" t="s">
        <v>406</v>
      </c>
      <c r="AY57" t="s">
        <v>90</v>
      </c>
      <c r="AZ57">
        <v>5.11</v>
      </c>
    </row>
    <row r="58" ht="30.0" customHeight="1">
      <c r="A58" s="11">
        <v>7.012815816E9</v>
      </c>
      <c r="B58" t="s">
        <v>72</v>
      </c>
      <c r="C58" t="s">
        <v>73</v>
      </c>
      <c r="D58" s="11">
        <v>7.012815816E9</v>
      </c>
      <c r="E58" s="11" t="s">
        <v>407</v>
      </c>
      <c r="F58" t="s">
        <v>86</v>
      </c>
      <c r="G58" t="str">
        <f t="shared" si="1"/>
        <v>47</v>
      </c>
      <c r="H58" t="s">
        <v>408</v>
      </c>
      <c r="I58" s="12" t="s">
        <v>409</v>
      </c>
      <c r="K58" s="13" t="s">
        <v>89</v>
      </c>
      <c r="L58" s="13">
        <v>1.0</v>
      </c>
      <c r="M58" s="13" t="s">
        <v>90</v>
      </c>
      <c r="N58" s="13">
        <v>918.06</v>
      </c>
      <c r="Q58" s="15" t="s">
        <v>79</v>
      </c>
      <c r="R58" s="15">
        <v>550.836</v>
      </c>
      <c r="S58" s="17" t="str">
        <f t="shared" si="2"/>
        <v>20.6%</v>
      </c>
      <c r="T58" s="16" t="str">
        <f t="shared" ref="T58:T65" si="12">R58/0.8</f>
        <v>688.55</v>
      </c>
      <c r="U58" s="16" t="str">
        <f t="shared" si="4"/>
        <v>693.71</v>
      </c>
      <c r="V58" s="15"/>
      <c r="W58" s="15" t="s">
        <v>80</v>
      </c>
      <c r="X58" s="15">
        <v>30.0</v>
      </c>
      <c r="Y58" s="15" t="s">
        <v>81</v>
      </c>
      <c r="Z58" s="15" t="s">
        <v>82</v>
      </c>
      <c r="AA58" s="15" t="s">
        <v>82</v>
      </c>
      <c r="AB58" s="15" t="s">
        <v>82</v>
      </c>
      <c r="AC58" s="15" t="s">
        <v>82</v>
      </c>
      <c r="AD58" t="s">
        <v>410</v>
      </c>
      <c r="AE58" s="18" t="s">
        <v>411</v>
      </c>
      <c r="AO58" t="s">
        <v>412</v>
      </c>
      <c r="AY58" t="s">
        <v>90</v>
      </c>
      <c r="AZ58">
        <v>3.6</v>
      </c>
    </row>
    <row r="59" ht="30.0" customHeight="1">
      <c r="A59" s="11">
        <v>7.012815818E9</v>
      </c>
      <c r="B59" t="s">
        <v>72</v>
      </c>
      <c r="C59" t="s">
        <v>73</v>
      </c>
      <c r="D59" s="11">
        <v>7.012815818E9</v>
      </c>
      <c r="E59" s="11" t="s">
        <v>413</v>
      </c>
      <c r="F59" t="s">
        <v>86</v>
      </c>
      <c r="G59" t="str">
        <f t="shared" si="1"/>
        <v>47</v>
      </c>
      <c r="H59" t="s">
        <v>414</v>
      </c>
      <c r="I59" s="12" t="s">
        <v>415</v>
      </c>
      <c r="K59" s="13" t="s">
        <v>89</v>
      </c>
      <c r="L59" s="13">
        <v>1.0</v>
      </c>
      <c r="M59" s="13" t="s">
        <v>90</v>
      </c>
      <c r="N59" s="13">
        <v>918.06</v>
      </c>
      <c r="Q59" s="15" t="s">
        <v>79</v>
      </c>
      <c r="R59" s="15">
        <v>550.836</v>
      </c>
      <c r="S59" s="17" t="str">
        <f t="shared" si="2"/>
        <v>20.6%</v>
      </c>
      <c r="T59" s="16" t="str">
        <f t="shared" si="12"/>
        <v>688.55</v>
      </c>
      <c r="U59" s="16" t="str">
        <f t="shared" si="4"/>
        <v>693.71</v>
      </c>
      <c r="V59" s="15"/>
      <c r="W59" s="15" t="s">
        <v>80</v>
      </c>
      <c r="X59" s="15">
        <v>30.0</v>
      </c>
      <c r="Y59" s="15" t="s">
        <v>81</v>
      </c>
      <c r="Z59" s="15" t="s">
        <v>82</v>
      </c>
      <c r="AA59" s="15" t="s">
        <v>82</v>
      </c>
      <c r="AB59" s="15" t="s">
        <v>82</v>
      </c>
      <c r="AC59" s="15" t="s">
        <v>82</v>
      </c>
      <c r="AD59" t="s">
        <v>416</v>
      </c>
      <c r="AE59" s="18" t="s">
        <v>417</v>
      </c>
      <c r="AO59" t="s">
        <v>418</v>
      </c>
      <c r="AY59" t="s">
        <v>90</v>
      </c>
      <c r="AZ59">
        <v>3.695</v>
      </c>
    </row>
    <row r="60" ht="30.0" customHeight="1">
      <c r="A60" s="11">
        <v>7.012815819E9</v>
      </c>
      <c r="B60" t="s">
        <v>72</v>
      </c>
      <c r="C60" t="s">
        <v>73</v>
      </c>
      <c r="D60" s="11">
        <v>7.012815819E9</v>
      </c>
      <c r="E60" s="11" t="s">
        <v>419</v>
      </c>
      <c r="F60" t="s">
        <v>86</v>
      </c>
      <c r="G60" t="str">
        <f t="shared" si="1"/>
        <v>48</v>
      </c>
      <c r="H60" t="s">
        <v>420</v>
      </c>
      <c r="I60" s="12" t="s">
        <v>421</v>
      </c>
      <c r="K60" s="13" t="s">
        <v>89</v>
      </c>
      <c r="L60" s="13">
        <v>1.0</v>
      </c>
      <c r="M60" s="13" t="s">
        <v>90</v>
      </c>
      <c r="N60" s="13">
        <v>967.33</v>
      </c>
      <c r="Q60" s="15" t="s">
        <v>79</v>
      </c>
      <c r="R60" s="15">
        <v>580.398</v>
      </c>
      <c r="S60" s="17" t="str">
        <f t="shared" si="2"/>
        <v>20.6%</v>
      </c>
      <c r="T60" s="16" t="str">
        <f t="shared" si="12"/>
        <v>725.50</v>
      </c>
      <c r="U60" s="16" t="str">
        <f t="shared" si="4"/>
        <v>730.94</v>
      </c>
      <c r="V60" s="15"/>
      <c r="W60" s="15" t="s">
        <v>80</v>
      </c>
      <c r="X60" s="15">
        <v>30.0</v>
      </c>
      <c r="Y60" s="15" t="s">
        <v>81</v>
      </c>
      <c r="Z60" s="15" t="s">
        <v>82</v>
      </c>
      <c r="AA60" s="15" t="s">
        <v>82</v>
      </c>
      <c r="AB60" s="15" t="s">
        <v>82</v>
      </c>
      <c r="AC60" s="15" t="s">
        <v>82</v>
      </c>
      <c r="AD60" t="s">
        <v>422</v>
      </c>
      <c r="AE60" s="18" t="s">
        <v>423</v>
      </c>
      <c r="AO60" t="s">
        <v>424</v>
      </c>
      <c r="AY60" t="s">
        <v>90</v>
      </c>
      <c r="AZ60">
        <v>3.6</v>
      </c>
    </row>
    <row r="61" ht="30.0" customHeight="1">
      <c r="A61" s="11">
        <v>7.100237065E9</v>
      </c>
      <c r="B61" t="s">
        <v>72</v>
      </c>
      <c r="C61" t="s">
        <v>73</v>
      </c>
      <c r="D61" s="11">
        <v>7.100237065E9</v>
      </c>
      <c r="E61" t="s">
        <v>425</v>
      </c>
      <c r="F61" t="s">
        <v>86</v>
      </c>
      <c r="G61" t="str">
        <f t="shared" si="1"/>
        <v>50</v>
      </c>
      <c r="H61" t="s">
        <v>426</v>
      </c>
      <c r="I61" s="12" t="s">
        <v>427</v>
      </c>
      <c r="K61" s="13" t="s">
        <v>89</v>
      </c>
      <c r="L61" s="13">
        <v>1.0</v>
      </c>
      <c r="M61" s="13" t="s">
        <v>90</v>
      </c>
      <c r="N61" s="13">
        <v>622.49</v>
      </c>
      <c r="Q61" s="15" t="s">
        <v>79</v>
      </c>
      <c r="R61" s="15">
        <v>373.494</v>
      </c>
      <c r="S61" s="17" t="str">
        <f t="shared" si="2"/>
        <v>20.6%</v>
      </c>
      <c r="T61" s="16" t="str">
        <f t="shared" si="12"/>
        <v>466.87</v>
      </c>
      <c r="U61" s="16" t="str">
        <f t="shared" si="4"/>
        <v>470.37</v>
      </c>
      <c r="V61" s="15"/>
      <c r="W61" s="15" t="s">
        <v>80</v>
      </c>
      <c r="X61" s="15">
        <v>30.0</v>
      </c>
      <c r="Y61" s="15" t="s">
        <v>81</v>
      </c>
      <c r="Z61" s="15" t="s">
        <v>82</v>
      </c>
      <c r="AA61" s="15" t="s">
        <v>82</v>
      </c>
      <c r="AB61" s="15" t="s">
        <v>82</v>
      </c>
      <c r="AC61" s="15" t="s">
        <v>82</v>
      </c>
      <c r="AE61" s="18" t="s">
        <v>428</v>
      </c>
      <c r="AO61" t="s">
        <v>429</v>
      </c>
      <c r="AP61" t="s">
        <v>430</v>
      </c>
      <c r="AY61" t="s">
        <v>90</v>
      </c>
      <c r="AZ61">
        <v>4.827</v>
      </c>
    </row>
    <row r="62" ht="30.0" customHeight="1">
      <c r="A62" s="11">
        <v>7.012816124E9</v>
      </c>
      <c r="B62" t="s">
        <v>72</v>
      </c>
      <c r="C62" t="s">
        <v>73</v>
      </c>
      <c r="D62" s="11">
        <v>7.012816124E9</v>
      </c>
      <c r="E62" s="11" t="s">
        <v>431</v>
      </c>
      <c r="F62" t="s">
        <v>86</v>
      </c>
      <c r="G62" t="str">
        <f t="shared" si="1"/>
        <v>50</v>
      </c>
      <c r="H62" t="s">
        <v>432</v>
      </c>
      <c r="I62" s="12" t="s">
        <v>433</v>
      </c>
      <c r="K62" s="13" t="s">
        <v>89</v>
      </c>
      <c r="L62" s="13">
        <v>1.0</v>
      </c>
      <c r="M62" s="13" t="s">
        <v>90</v>
      </c>
      <c r="N62" s="13">
        <v>622.49</v>
      </c>
      <c r="Q62" s="15" t="s">
        <v>79</v>
      </c>
      <c r="R62" s="15">
        <v>373.494</v>
      </c>
      <c r="S62" s="17" t="str">
        <f t="shared" si="2"/>
        <v>20.6%</v>
      </c>
      <c r="T62" s="16" t="str">
        <f t="shared" si="12"/>
        <v>466.87</v>
      </c>
      <c r="U62" s="16" t="str">
        <f t="shared" si="4"/>
        <v>470.37</v>
      </c>
      <c r="V62" s="15"/>
      <c r="W62" s="15" t="s">
        <v>80</v>
      </c>
      <c r="X62" s="15">
        <v>30.0</v>
      </c>
      <c r="Y62" s="15" t="s">
        <v>81</v>
      </c>
      <c r="Z62" s="15" t="s">
        <v>82</v>
      </c>
      <c r="AA62" s="15" t="s">
        <v>82</v>
      </c>
      <c r="AB62" s="15" t="s">
        <v>82</v>
      </c>
      <c r="AC62" s="15" t="s">
        <v>82</v>
      </c>
      <c r="AD62" t="s">
        <v>434</v>
      </c>
      <c r="AE62" s="18" t="s">
        <v>435</v>
      </c>
      <c r="AO62" t="s">
        <v>436</v>
      </c>
      <c r="AP62" t="s">
        <v>437</v>
      </c>
      <c r="AY62" t="s">
        <v>90</v>
      </c>
      <c r="AZ62">
        <v>5.037</v>
      </c>
    </row>
    <row r="63" ht="30.0" customHeight="1">
      <c r="A63" s="11">
        <v>7.012816521E9</v>
      </c>
      <c r="B63" t="s">
        <v>72</v>
      </c>
      <c r="C63" t="s">
        <v>73</v>
      </c>
      <c r="D63" s="11">
        <v>7.012816521E9</v>
      </c>
      <c r="E63" s="11" t="s">
        <v>438</v>
      </c>
      <c r="F63" t="s">
        <v>86</v>
      </c>
      <c r="G63" t="str">
        <f t="shared" si="1"/>
        <v>50</v>
      </c>
      <c r="H63" t="s">
        <v>439</v>
      </c>
      <c r="I63" s="12" t="s">
        <v>440</v>
      </c>
      <c r="K63" s="13" t="s">
        <v>89</v>
      </c>
      <c r="L63" s="13">
        <v>1.0</v>
      </c>
      <c r="M63" s="13" t="s">
        <v>90</v>
      </c>
      <c r="N63" s="13">
        <v>666.28</v>
      </c>
      <c r="Q63" s="15" t="s">
        <v>79</v>
      </c>
      <c r="R63" s="15">
        <v>399.768</v>
      </c>
      <c r="S63" s="17" t="str">
        <f t="shared" si="2"/>
        <v>20.6%</v>
      </c>
      <c r="T63" s="16" t="str">
        <f t="shared" si="12"/>
        <v>499.71</v>
      </c>
      <c r="U63" s="16" t="str">
        <f t="shared" si="4"/>
        <v>503.46</v>
      </c>
      <c r="V63" s="15"/>
      <c r="W63" s="15" t="s">
        <v>80</v>
      </c>
      <c r="X63" s="15">
        <v>30.0</v>
      </c>
      <c r="Y63" s="15" t="s">
        <v>81</v>
      </c>
      <c r="Z63" s="15" t="s">
        <v>82</v>
      </c>
      <c r="AA63" s="15" t="s">
        <v>82</v>
      </c>
      <c r="AB63" s="15" t="s">
        <v>82</v>
      </c>
      <c r="AC63" s="15" t="s">
        <v>82</v>
      </c>
      <c r="AD63" t="s">
        <v>441</v>
      </c>
      <c r="AE63" s="18" t="s">
        <v>442</v>
      </c>
      <c r="AO63" t="s">
        <v>443</v>
      </c>
      <c r="AP63" t="s">
        <v>444</v>
      </c>
      <c r="AY63" t="s">
        <v>90</v>
      </c>
      <c r="AZ63">
        <v>5.152</v>
      </c>
    </row>
    <row r="64" ht="30.0" customHeight="1">
      <c r="A64" s="11">
        <v>7.012816121E9</v>
      </c>
      <c r="B64" t="s">
        <v>72</v>
      </c>
      <c r="C64" t="s">
        <v>73</v>
      </c>
      <c r="D64" s="11">
        <v>7.012816121E9</v>
      </c>
      <c r="E64" t="s">
        <v>445</v>
      </c>
      <c r="F64" t="s">
        <v>86</v>
      </c>
      <c r="G64" t="str">
        <f t="shared" si="1"/>
        <v>50</v>
      </c>
      <c r="H64" t="s">
        <v>446</v>
      </c>
      <c r="I64" s="12" t="s">
        <v>447</v>
      </c>
      <c r="K64" s="13" t="s">
        <v>89</v>
      </c>
      <c r="L64" s="13">
        <v>1.0</v>
      </c>
      <c r="M64" s="13" t="s">
        <v>90</v>
      </c>
      <c r="N64" s="13">
        <v>622.49</v>
      </c>
      <c r="Q64" s="15" t="s">
        <v>79</v>
      </c>
      <c r="R64" s="15">
        <v>373.494</v>
      </c>
      <c r="S64" s="17" t="str">
        <f t="shared" si="2"/>
        <v>20.6%</v>
      </c>
      <c r="T64" s="16" t="str">
        <f t="shared" si="12"/>
        <v>466.87</v>
      </c>
      <c r="U64" s="16" t="str">
        <f t="shared" si="4"/>
        <v>470.37</v>
      </c>
      <c r="V64" s="15"/>
      <c r="W64" s="15" t="s">
        <v>80</v>
      </c>
      <c r="X64" s="15">
        <v>30.0</v>
      </c>
      <c r="Y64" s="15" t="s">
        <v>81</v>
      </c>
      <c r="Z64" s="15" t="s">
        <v>82</v>
      </c>
      <c r="AA64" s="15" t="s">
        <v>82</v>
      </c>
      <c r="AB64" s="15" t="s">
        <v>82</v>
      </c>
      <c r="AC64" s="15" t="s">
        <v>82</v>
      </c>
      <c r="AD64" t="s">
        <v>448</v>
      </c>
      <c r="AE64" s="18" t="s">
        <v>449</v>
      </c>
      <c r="AO64" t="s">
        <v>450</v>
      </c>
      <c r="AP64" t="s">
        <v>451</v>
      </c>
      <c r="AY64" t="s">
        <v>90</v>
      </c>
      <c r="AZ64">
        <v>4.967</v>
      </c>
    </row>
    <row r="65" ht="30.0" customHeight="1">
      <c r="A65" s="11">
        <v>7.012816107E9</v>
      </c>
      <c r="B65" t="s">
        <v>72</v>
      </c>
      <c r="C65" t="s">
        <v>73</v>
      </c>
      <c r="D65" s="11">
        <v>7.012816107E9</v>
      </c>
      <c r="E65" s="11" t="s">
        <v>452</v>
      </c>
      <c r="F65" t="s">
        <v>86</v>
      </c>
      <c r="G65" t="str">
        <f t="shared" si="1"/>
        <v>50</v>
      </c>
      <c r="H65" t="s">
        <v>453</v>
      </c>
      <c r="I65" s="12" t="s">
        <v>454</v>
      </c>
      <c r="K65" s="13" t="s">
        <v>89</v>
      </c>
      <c r="L65" s="13">
        <v>1.0</v>
      </c>
      <c r="M65" s="13" t="s">
        <v>90</v>
      </c>
      <c r="N65" s="13">
        <v>622.49</v>
      </c>
      <c r="Q65" s="15" t="s">
        <v>79</v>
      </c>
      <c r="R65" s="15">
        <v>373.494</v>
      </c>
      <c r="S65" s="17" t="str">
        <f t="shared" si="2"/>
        <v>20.6%</v>
      </c>
      <c r="T65" s="16" t="str">
        <f t="shared" si="12"/>
        <v>466.87</v>
      </c>
      <c r="U65" s="16" t="str">
        <f t="shared" si="4"/>
        <v>470.37</v>
      </c>
      <c r="V65" s="15"/>
      <c r="W65" s="15" t="s">
        <v>80</v>
      </c>
      <c r="X65" s="15">
        <v>30.0</v>
      </c>
      <c r="Y65" s="15" t="s">
        <v>81</v>
      </c>
      <c r="Z65" s="15" t="s">
        <v>82</v>
      </c>
      <c r="AA65" s="15" t="s">
        <v>82</v>
      </c>
      <c r="AB65" s="15" t="s">
        <v>82</v>
      </c>
      <c r="AC65" s="15" t="s">
        <v>82</v>
      </c>
      <c r="AD65" t="s">
        <v>455</v>
      </c>
      <c r="AE65" s="18" t="s">
        <v>456</v>
      </c>
      <c r="AO65" t="s">
        <v>457</v>
      </c>
      <c r="AP65" t="s">
        <v>458</v>
      </c>
      <c r="AY65" t="s">
        <v>90</v>
      </c>
      <c r="AZ65">
        <v>4.617</v>
      </c>
    </row>
    <row r="66" ht="30.0" customHeight="1">
      <c r="A66" s="11">
        <v>7.01281803E9</v>
      </c>
      <c r="B66" t="s">
        <v>72</v>
      </c>
      <c r="C66" t="s">
        <v>73</v>
      </c>
      <c r="D66" s="11">
        <v>7.01281803E9</v>
      </c>
      <c r="E66" t="s">
        <v>459</v>
      </c>
      <c r="F66" t="s">
        <v>86</v>
      </c>
      <c r="G66" t="str">
        <f t="shared" si="1"/>
        <v>49</v>
      </c>
      <c r="H66" t="s">
        <v>460</v>
      </c>
      <c r="I66" s="12" t="s">
        <v>461</v>
      </c>
      <c r="K66" s="13" t="s">
        <v>89</v>
      </c>
      <c r="L66" s="13">
        <v>1.0</v>
      </c>
      <c r="M66" s="13" t="s">
        <v>90</v>
      </c>
      <c r="N66" s="13">
        <v>650.89</v>
      </c>
      <c r="Q66" s="15" t="s">
        <v>79</v>
      </c>
      <c r="R66" s="15">
        <v>390.534</v>
      </c>
      <c r="S66" s="17" t="str">
        <f t="shared" si="2"/>
        <v>18.6%</v>
      </c>
      <c r="T66" s="16" t="str">
        <f>R66/0.82</f>
        <v>476.26</v>
      </c>
      <c r="U66" s="16" t="str">
        <f t="shared" si="4"/>
        <v>479.83</v>
      </c>
      <c r="V66" s="15"/>
      <c r="W66" s="15" t="s">
        <v>80</v>
      </c>
      <c r="X66" s="15">
        <v>30.0</v>
      </c>
      <c r="Y66" s="15" t="s">
        <v>81</v>
      </c>
      <c r="Z66" s="15" t="s">
        <v>82</v>
      </c>
      <c r="AA66" s="15" t="s">
        <v>82</v>
      </c>
      <c r="AB66" s="15" t="s">
        <v>82</v>
      </c>
      <c r="AC66" s="15" t="s">
        <v>82</v>
      </c>
      <c r="AD66" t="s">
        <v>462</v>
      </c>
      <c r="AE66" s="18" t="s">
        <v>463</v>
      </c>
      <c r="AO66" t="s">
        <v>464</v>
      </c>
      <c r="AP66" t="s">
        <v>465</v>
      </c>
      <c r="AY66" t="s">
        <v>90</v>
      </c>
      <c r="AZ66">
        <v>4.97</v>
      </c>
    </row>
    <row r="67" ht="14.25" customHeight="1">
      <c r="A67" s="11">
        <v>7.100328262E9</v>
      </c>
      <c r="B67" t="s">
        <v>72</v>
      </c>
      <c r="C67" t="s">
        <v>73</v>
      </c>
      <c r="D67" s="11" t="s">
        <v>466</v>
      </c>
      <c r="E67" s="11" t="s">
        <v>467</v>
      </c>
      <c r="F67" s="11">
        <v>332999.0</v>
      </c>
      <c r="G67" t="str">
        <f t="shared" si="1"/>
        <v>48</v>
      </c>
      <c r="H67" t="s">
        <v>468</v>
      </c>
      <c r="I67" s="12" t="s">
        <v>469</v>
      </c>
      <c r="K67" s="13" t="s">
        <v>89</v>
      </c>
      <c r="L67" s="13">
        <v>1.0</v>
      </c>
      <c r="M67" s="13" t="s">
        <v>90</v>
      </c>
      <c r="N67" s="13">
        <v>1102.1</v>
      </c>
      <c r="Q67" s="15" t="s">
        <v>79</v>
      </c>
      <c r="R67" s="15">
        <v>661.26</v>
      </c>
      <c r="S67" s="17" t="str">
        <f t="shared" si="2"/>
        <v>13.6%</v>
      </c>
      <c r="T67" s="16" t="str">
        <f>R67/0.87</f>
        <v>760.07</v>
      </c>
      <c r="U67" s="16" t="str">
        <f t="shared" si="4"/>
        <v>765.77</v>
      </c>
      <c r="V67" s="15"/>
      <c r="W67" s="15" t="s">
        <v>80</v>
      </c>
      <c r="X67" s="15">
        <v>30.0</v>
      </c>
      <c r="Y67" s="15" t="s">
        <v>81</v>
      </c>
      <c r="Z67" s="15" t="s">
        <v>82</v>
      </c>
      <c r="AA67" s="15" t="s">
        <v>82</v>
      </c>
      <c r="AB67" s="15" t="s">
        <v>82</v>
      </c>
      <c r="AC67" s="15" t="s">
        <v>82</v>
      </c>
      <c r="AE67" s="18" t="s">
        <v>470</v>
      </c>
      <c r="AY67" t="s">
        <v>90</v>
      </c>
      <c r="AZ67">
        <v>1.424</v>
      </c>
    </row>
    <row r="68" ht="14.25" customHeight="1">
      <c r="A68" s="11">
        <v>7.100150926E9</v>
      </c>
      <c r="B68" t="s">
        <v>72</v>
      </c>
      <c r="C68" t="s">
        <v>73</v>
      </c>
      <c r="D68" t="s">
        <v>471</v>
      </c>
      <c r="E68" t="s">
        <v>472</v>
      </c>
      <c r="F68" s="11">
        <v>332999.0</v>
      </c>
      <c r="G68" t="str">
        <f t="shared" si="1"/>
        <v>50</v>
      </c>
      <c r="H68" t="s">
        <v>473</v>
      </c>
      <c r="I68" s="12" t="s">
        <v>474</v>
      </c>
      <c r="K68" s="13" t="s">
        <v>89</v>
      </c>
      <c r="L68" s="13">
        <v>1.0</v>
      </c>
      <c r="M68" s="13" t="s">
        <v>90</v>
      </c>
      <c r="N68" s="22">
        <v>2972.09</v>
      </c>
      <c r="Q68" s="15" t="s">
        <v>79</v>
      </c>
      <c r="R68" s="23">
        <v>1783.25</v>
      </c>
      <c r="S68" s="17" t="str">
        <f t="shared" si="2"/>
        <v>7.2%</v>
      </c>
      <c r="T68" s="16" t="str">
        <f>R68/0.935</f>
        <v>1907.22</v>
      </c>
      <c r="U68" s="16" t="str">
        <f t="shared" si="4"/>
        <v>1921.52</v>
      </c>
      <c r="V68" s="15"/>
      <c r="W68" s="15" t="s">
        <v>80</v>
      </c>
      <c r="X68" s="15">
        <v>30.0</v>
      </c>
      <c r="Y68" s="15" t="s">
        <v>81</v>
      </c>
      <c r="Z68" s="15" t="s">
        <v>82</v>
      </c>
      <c r="AA68" s="15" t="s">
        <v>82</v>
      </c>
      <c r="AB68" s="15" t="s">
        <v>82</v>
      </c>
      <c r="AC68" s="15" t="s">
        <v>82</v>
      </c>
      <c r="AE68" s="18" t="s">
        <v>475</v>
      </c>
    </row>
    <row r="69" ht="14.25" customHeight="1">
      <c r="A69" s="11">
        <v>7.100021007E9</v>
      </c>
      <c r="B69" t="s">
        <v>72</v>
      </c>
      <c r="C69" t="s">
        <v>73</v>
      </c>
      <c r="D69" s="11">
        <v>7.100021007E9</v>
      </c>
      <c r="E69" s="11" t="s">
        <v>476</v>
      </c>
      <c r="F69" t="s">
        <v>86</v>
      </c>
      <c r="G69" t="str">
        <f t="shared" si="1"/>
        <v>51</v>
      </c>
      <c r="H69" t="s">
        <v>477</v>
      </c>
      <c r="I69" s="12" t="s">
        <v>478</v>
      </c>
      <c r="K69" s="13" t="s">
        <v>126</v>
      </c>
      <c r="L69" s="13">
        <v>5.0</v>
      </c>
      <c r="M69" s="13" t="s">
        <v>90</v>
      </c>
      <c r="N69" s="13">
        <v>907.13</v>
      </c>
      <c r="Q69" s="15" t="s">
        <v>79</v>
      </c>
      <c r="R69" s="15">
        <v>544.27</v>
      </c>
      <c r="S69" s="17" t="str">
        <f t="shared" si="2"/>
        <v>8.7%</v>
      </c>
      <c r="T69" s="16" t="str">
        <f>R69/0.92</f>
        <v>591.60</v>
      </c>
      <c r="U69" s="16" t="str">
        <f t="shared" si="4"/>
        <v>596.03</v>
      </c>
      <c r="V69" s="15"/>
      <c r="W69" s="15" t="s">
        <v>262</v>
      </c>
      <c r="X69" s="15">
        <v>30.0</v>
      </c>
      <c r="Y69" s="15" t="s">
        <v>81</v>
      </c>
      <c r="Z69" s="15" t="s">
        <v>82</v>
      </c>
      <c r="AA69" s="15" t="s">
        <v>82</v>
      </c>
      <c r="AB69" s="15" t="s">
        <v>82</v>
      </c>
      <c r="AC69" s="15" t="s">
        <v>82</v>
      </c>
      <c r="AE69" s="18" t="s">
        <v>479</v>
      </c>
    </row>
    <row r="70" ht="14.25" customHeight="1">
      <c r="A70" s="11"/>
      <c r="I70" s="12"/>
      <c r="K70" s="13"/>
      <c r="L70" s="13"/>
      <c r="M70" s="13"/>
      <c r="N70" s="13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E70" s="18"/>
    </row>
    <row r="71" ht="14.25" customHeight="1">
      <c r="A71" s="11"/>
      <c r="I71" s="12"/>
      <c r="K71" s="13"/>
      <c r="L71" s="13"/>
      <c r="M71" s="13"/>
      <c r="N71" s="13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E71" s="18"/>
    </row>
    <row r="72" ht="14.25" customHeight="1">
      <c r="A72" s="11"/>
      <c r="I72" s="12"/>
      <c r="K72" s="13"/>
      <c r="L72" s="13"/>
      <c r="M72" s="13"/>
      <c r="N72" s="13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E72" s="18"/>
    </row>
    <row r="73" ht="14.25" customHeight="1">
      <c r="A73" s="11"/>
      <c r="I73" s="12"/>
      <c r="K73" s="13"/>
      <c r="L73" s="13"/>
      <c r="M73" s="13"/>
      <c r="N73" s="13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E73" s="18"/>
    </row>
    <row r="74" ht="14.25" customHeight="1">
      <c r="A74" s="11"/>
      <c r="I74" s="12"/>
      <c r="K74" s="13"/>
      <c r="L74" s="13"/>
      <c r="M74" s="13"/>
      <c r="N74" s="13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E74" s="18"/>
    </row>
    <row r="75" ht="14.25" customHeight="1">
      <c r="A75" s="11"/>
      <c r="I75" s="12"/>
      <c r="K75" s="13"/>
      <c r="L75" s="13"/>
      <c r="M75" s="13"/>
      <c r="N75" s="13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E75" s="18"/>
    </row>
    <row r="76" ht="14.25" customHeight="1">
      <c r="A76" s="11"/>
      <c r="I76" s="12"/>
      <c r="K76" s="13"/>
      <c r="L76" s="13"/>
      <c r="M76" s="13"/>
      <c r="N76" s="13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E76" s="18"/>
    </row>
    <row r="77" ht="14.25" customHeight="1">
      <c r="A77" s="11"/>
      <c r="I77" s="12"/>
      <c r="K77" s="13"/>
      <c r="L77" s="13"/>
      <c r="M77" s="13"/>
      <c r="N77" s="13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E77" s="18"/>
    </row>
    <row r="78" ht="14.25" customHeight="1">
      <c r="A78" s="11"/>
      <c r="I78" s="12"/>
      <c r="K78" s="13"/>
      <c r="L78" s="13"/>
      <c r="M78" s="13"/>
      <c r="N78" s="13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E78" s="18"/>
    </row>
    <row r="79" ht="14.25" customHeight="1">
      <c r="A79" s="11"/>
      <c r="I79" s="12"/>
      <c r="K79" s="13"/>
      <c r="L79" s="13"/>
      <c r="M79" s="13"/>
      <c r="N79" s="13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E79" s="18"/>
    </row>
    <row r="80" ht="14.25" customHeight="1">
      <c r="A80" s="11"/>
      <c r="I80" s="12"/>
      <c r="K80" s="13"/>
      <c r="L80" s="13"/>
      <c r="M80" s="13"/>
      <c r="N80" s="13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E80" s="18"/>
    </row>
    <row r="81" ht="14.25" customHeight="1">
      <c r="A81" s="11"/>
      <c r="I81" s="12"/>
      <c r="K81" s="13"/>
      <c r="L81" s="13"/>
      <c r="M81" s="13"/>
      <c r="N81" s="13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E81" s="18"/>
    </row>
    <row r="82" ht="14.25" customHeight="1">
      <c r="A82" s="11"/>
      <c r="I82" s="12"/>
      <c r="K82" s="13"/>
      <c r="L82" s="13"/>
      <c r="M82" s="13"/>
      <c r="N82" s="13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E82" s="18"/>
    </row>
    <row r="83" ht="14.25" customHeight="1">
      <c r="A83" s="11"/>
      <c r="I83" s="12"/>
      <c r="K83" s="13"/>
      <c r="L83" s="13"/>
      <c r="M83" s="13"/>
      <c r="N83" s="13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E83" s="18"/>
    </row>
    <row r="84" ht="14.25" customHeight="1">
      <c r="A84" s="11"/>
      <c r="I84" s="12"/>
      <c r="K84" s="13"/>
      <c r="L84" s="13"/>
      <c r="M84" s="13"/>
      <c r="N84" s="13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E84" s="18"/>
    </row>
    <row r="85" ht="14.25" customHeight="1">
      <c r="A85" s="11"/>
      <c r="I85" s="12"/>
      <c r="K85" s="13"/>
      <c r="L85" s="13"/>
      <c r="M85" s="13"/>
      <c r="N85" s="13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E85" s="18"/>
    </row>
    <row r="86" ht="14.25" customHeight="1">
      <c r="A86" s="11"/>
      <c r="I86" s="12"/>
      <c r="K86" s="13"/>
      <c r="L86" s="13"/>
      <c r="M86" s="13"/>
      <c r="N86" s="13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E86" s="18"/>
    </row>
    <row r="87" ht="14.25" customHeight="1">
      <c r="A87" s="11"/>
      <c r="I87" s="12"/>
      <c r="K87" s="13"/>
      <c r="L87" s="13"/>
      <c r="M87" s="13"/>
      <c r="N87" s="13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E87" s="18"/>
    </row>
    <row r="88" ht="14.25" customHeight="1">
      <c r="A88" s="11"/>
      <c r="I88" s="12"/>
      <c r="K88" s="13"/>
      <c r="L88" s="13"/>
      <c r="M88" s="13"/>
      <c r="N88" s="13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E88" s="18"/>
    </row>
    <row r="89" ht="14.25" customHeight="1">
      <c r="A89" s="11"/>
      <c r="I89" s="12"/>
      <c r="K89" s="13"/>
      <c r="L89" s="13"/>
      <c r="M89" s="13"/>
      <c r="N89" s="13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E89" s="18"/>
    </row>
    <row r="90" ht="14.25" customHeight="1">
      <c r="A90" s="11"/>
      <c r="I90" s="12"/>
      <c r="K90" s="13"/>
      <c r="L90" s="13"/>
      <c r="M90" s="13"/>
      <c r="N90" s="13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E90" s="18"/>
    </row>
    <row r="91" ht="14.25" customHeight="1">
      <c r="A91" s="11"/>
      <c r="I91" s="12"/>
      <c r="K91" s="13"/>
      <c r="L91" s="13"/>
      <c r="M91" s="13"/>
      <c r="N91" s="13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E91" s="18"/>
    </row>
    <row r="92" ht="14.25" customHeight="1">
      <c r="A92" s="11"/>
      <c r="I92" s="12"/>
      <c r="K92" s="13"/>
      <c r="L92" s="13"/>
      <c r="M92" s="13"/>
      <c r="N92" s="13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E92" s="18"/>
    </row>
    <row r="93" ht="14.25" customHeight="1">
      <c r="A93" s="11"/>
      <c r="I93" s="12"/>
      <c r="K93" s="13"/>
      <c r="L93" s="13"/>
      <c r="M93" s="13"/>
      <c r="N93" s="13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E93" s="18"/>
    </row>
    <row r="94" ht="14.25" customHeight="1">
      <c r="A94" s="11"/>
      <c r="I94" s="12"/>
      <c r="K94" s="13"/>
      <c r="L94" s="13"/>
      <c r="M94" s="13"/>
      <c r="N94" s="13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E94" s="18"/>
    </row>
    <row r="95" ht="14.25" customHeight="1">
      <c r="A95" s="11"/>
      <c r="I95" s="12"/>
      <c r="K95" s="13"/>
      <c r="L95" s="13"/>
      <c r="M95" s="13"/>
      <c r="N95" s="13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E95" s="18"/>
    </row>
    <row r="96" ht="14.25" customHeight="1">
      <c r="A96" s="11"/>
      <c r="I96" s="12"/>
      <c r="K96" s="13"/>
      <c r="L96" s="13"/>
      <c r="M96" s="13"/>
      <c r="N96" s="13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E96" s="18"/>
    </row>
    <row r="97" ht="14.25" customHeight="1">
      <c r="A97" s="11"/>
      <c r="I97" s="12"/>
      <c r="K97" s="13"/>
      <c r="L97" s="13"/>
      <c r="M97" s="13"/>
      <c r="N97" s="13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E97" s="18"/>
    </row>
    <row r="98" ht="14.25" customHeight="1">
      <c r="A98" s="11"/>
      <c r="I98" s="12"/>
      <c r="K98" s="13"/>
      <c r="L98" s="13"/>
      <c r="M98" s="13"/>
      <c r="N98" s="13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E98" s="18"/>
    </row>
    <row r="99" ht="14.25" customHeight="1">
      <c r="A99" s="11"/>
      <c r="I99" s="12"/>
      <c r="K99" s="13"/>
      <c r="L99" s="13"/>
      <c r="M99" s="13"/>
      <c r="N99" s="13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E99" s="18"/>
    </row>
    <row r="100" ht="14.25" customHeight="1">
      <c r="A100" s="11"/>
      <c r="I100" s="12"/>
      <c r="K100" s="13"/>
      <c r="L100" s="13"/>
      <c r="M100" s="13"/>
      <c r="N100" s="13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E100" s="18"/>
    </row>
  </sheetData>
  <autoFilter ref="$A$2:$BF$67"/>
  <printOptions/>
  <pageMargins bottom="0.75" footer="0.0" header="0.0" left="0.7" right="0.7" top="0.75"/>
  <pageSetup scale="9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11" width="8.71"/>
  </cols>
  <sheetData>
    <row r="1" ht="14.25" customHeight="1">
      <c r="A1" s="24">
        <v>7.100248306E9</v>
      </c>
    </row>
    <row r="2" ht="14.25" customHeight="1">
      <c r="A2" s="24">
        <v>7.100044445E9</v>
      </c>
    </row>
    <row r="3" ht="14.25" customHeight="1">
      <c r="A3" s="24">
        <v>7.100044446E9</v>
      </c>
    </row>
    <row r="4" ht="14.25" customHeight="1">
      <c r="A4" s="24">
        <v>7.100044448E9</v>
      </c>
    </row>
    <row r="5" ht="14.25" customHeight="1">
      <c r="A5" s="24">
        <v>7.100044449E9</v>
      </c>
    </row>
    <row r="6" ht="14.25" customHeight="1">
      <c r="A6" s="24">
        <v>7.100066678E9</v>
      </c>
    </row>
    <row r="7" ht="14.25" customHeight="1">
      <c r="A7" s="24">
        <v>7.100066679E9</v>
      </c>
    </row>
    <row r="8" ht="14.25" customHeight="1">
      <c r="A8" s="24">
        <v>7.100066702E9</v>
      </c>
    </row>
    <row r="9" ht="14.25" customHeight="1">
      <c r="A9" s="24">
        <v>7.100077622E9</v>
      </c>
    </row>
    <row r="10" ht="14.25" customHeight="1">
      <c r="A10" s="24">
        <v>7.100268547E9</v>
      </c>
    </row>
    <row r="11" ht="14.25" customHeight="1">
      <c r="A11" s="24">
        <v>7.100268548E9</v>
      </c>
    </row>
    <row r="12" ht="14.25" customHeight="1">
      <c r="A12" s="24">
        <v>7.100268549E9</v>
      </c>
    </row>
    <row r="13" ht="14.25" customHeight="1">
      <c r="A13" s="24">
        <v>7.000088514E9</v>
      </c>
    </row>
    <row r="14" ht="14.25" customHeight="1">
      <c r="A14" s="24">
        <v>7.000088516E9</v>
      </c>
    </row>
    <row r="15" ht="14.25" customHeight="1">
      <c r="A15" s="24">
        <v>7.000088517E9</v>
      </c>
    </row>
    <row r="16" ht="14.25" customHeight="1">
      <c r="A16" s="24">
        <v>7.10004507E9</v>
      </c>
    </row>
    <row r="17" ht="14.25" customHeight="1">
      <c r="A17" s="24">
        <v>7.100045071E9</v>
      </c>
    </row>
    <row r="18" ht="14.25" customHeight="1">
      <c r="A18" s="24">
        <v>7.100045072E9</v>
      </c>
    </row>
    <row r="19" ht="14.25" customHeight="1">
      <c r="A19" s="24">
        <v>7.100045073E9</v>
      </c>
    </row>
    <row r="20" ht="14.25" customHeight="1">
      <c r="A20" s="24">
        <v>7.10005363E9</v>
      </c>
    </row>
    <row r="21" ht="14.25" customHeight="1">
      <c r="A21" s="24">
        <v>7.100053644E9</v>
      </c>
    </row>
    <row r="22" ht="14.25" customHeight="1">
      <c r="A22" s="24">
        <v>7.100053741E9</v>
      </c>
    </row>
    <row r="23" ht="14.25" customHeight="1">
      <c r="A23" s="24">
        <v>7.100064177E9</v>
      </c>
    </row>
    <row r="24" ht="14.25" customHeight="1">
      <c r="A24" s="24">
        <v>7.100064178E9</v>
      </c>
    </row>
    <row r="25" ht="14.25" customHeight="1">
      <c r="A25" s="24">
        <v>7.10006427E9</v>
      </c>
    </row>
    <row r="26" ht="14.25" customHeight="1">
      <c r="A26" s="24">
        <v>7.100141692E9</v>
      </c>
    </row>
    <row r="27" ht="14.25" customHeight="1">
      <c r="A27" s="24">
        <v>7.100145363E9</v>
      </c>
    </row>
    <row r="28" ht="14.25" customHeight="1">
      <c r="A28" s="24">
        <v>7.000002041E9</v>
      </c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baseType="lpstr" size="3">
      <vt:lpstr>Sheet1</vt:lpstr>
      <vt:lpstr>Sheet2</vt:lpstr>
      <vt:lpstr>Sheet1!Print_Area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2026-02-13T18:24:22Z</dcterms:created>
  <dc:creator>Aayush Bhandary</dc:creator>
  <cp:lastModifiedBy>Aayush Bhandary</cp:lastModifiedBy>
  <cp:lastPrinted>2026-02-18T19:20:07Z</cp:lastPrinted>
  <dcterms:modified xsi:type="dcterms:W3CDTF">2026-02-24T16:19:30Z</dcterms:modified>
</cp:coreProperties>
</file>