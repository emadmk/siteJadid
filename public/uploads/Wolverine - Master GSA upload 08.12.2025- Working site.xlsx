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abak\Dropbox\Babajo Buffer\01-ADA Supply\Marketing Job\Website Shop Pricing\Products\Wolverine-Bates\Bates\Bates\"/>
    </mc:Choice>
  </mc:AlternateContent>
  <xr:revisionPtr revIDLastSave="0" documentId="8_{272CAFD1-D1EB-4DE1-813A-8202C9D92A87}" xr6:coauthVersionLast="47" xr6:coauthVersionMax="47" xr10:uidLastSave="{00000000-0000-0000-0000-000000000000}"/>
  <bookViews>
    <workbookView xWindow="28680" yWindow="-120" windowWidth="29040" windowHeight="16440" xr2:uid="{AEFBB15B-0B5A-4657-96BF-D71EE8144896}"/>
  </bookViews>
  <sheets>
    <sheet name="Summary" sheetId="1" r:id="rId1"/>
    <sheet name="Sheet1" sheetId="5" r:id="rId2"/>
  </sheets>
  <definedNames>
    <definedName name="_xlnm._FilterDatabase" localSheetId="0" hidden="1">Summary!$A$2:$AZ$1173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1" l="1"/>
  <c r="U4" i="1" s="1"/>
  <c r="T5" i="1"/>
  <c r="U5" i="1" s="1"/>
  <c r="T6" i="1"/>
  <c r="U6" i="1" s="1"/>
  <c r="T7" i="1"/>
  <c r="U7" i="1" s="1"/>
  <c r="T8" i="1"/>
  <c r="U8" i="1" s="1"/>
  <c r="T9" i="1"/>
  <c r="U9" i="1" s="1"/>
  <c r="T10" i="1"/>
  <c r="U10" i="1" s="1"/>
  <c r="T11" i="1"/>
  <c r="U11" i="1" s="1"/>
  <c r="T12" i="1"/>
  <c r="U12" i="1" s="1"/>
  <c r="T13" i="1"/>
  <c r="U13" i="1" s="1"/>
  <c r="T14" i="1"/>
  <c r="U14" i="1" s="1"/>
  <c r="T15" i="1"/>
  <c r="U15" i="1" s="1"/>
  <c r="T16" i="1"/>
  <c r="U16" i="1" s="1"/>
  <c r="T17" i="1"/>
  <c r="U17" i="1" s="1"/>
  <c r="T18" i="1"/>
  <c r="U18" i="1" s="1"/>
  <c r="T19" i="1"/>
  <c r="U19" i="1" s="1"/>
  <c r="T20" i="1"/>
  <c r="U20" i="1" s="1"/>
  <c r="T21" i="1"/>
  <c r="U21" i="1" s="1"/>
  <c r="T22" i="1"/>
  <c r="U22" i="1" s="1"/>
  <c r="T23" i="1"/>
  <c r="U23" i="1" s="1"/>
  <c r="T24" i="1"/>
  <c r="U24" i="1" s="1"/>
  <c r="T25" i="1"/>
  <c r="U25" i="1" s="1"/>
  <c r="T26" i="1"/>
  <c r="U26" i="1" s="1"/>
  <c r="T27" i="1"/>
  <c r="U27" i="1" s="1"/>
  <c r="T28" i="1"/>
  <c r="U28" i="1" s="1"/>
  <c r="T29" i="1"/>
  <c r="U29" i="1" s="1"/>
  <c r="T30" i="1"/>
  <c r="U30" i="1" s="1"/>
  <c r="T31" i="1"/>
  <c r="U31" i="1" s="1"/>
  <c r="T32" i="1"/>
  <c r="U32" i="1" s="1"/>
  <c r="T33" i="1"/>
  <c r="U33" i="1" s="1"/>
  <c r="T34" i="1"/>
  <c r="U34" i="1" s="1"/>
  <c r="T35" i="1"/>
  <c r="U35" i="1" s="1"/>
  <c r="T36" i="1"/>
  <c r="U36" i="1" s="1"/>
  <c r="T37" i="1"/>
  <c r="U37" i="1" s="1"/>
  <c r="T38" i="1"/>
  <c r="U38" i="1" s="1"/>
  <c r="T39" i="1"/>
  <c r="U39" i="1" s="1"/>
  <c r="T40" i="1"/>
  <c r="U40" i="1" s="1"/>
  <c r="T41" i="1"/>
  <c r="U41" i="1" s="1"/>
  <c r="T42" i="1"/>
  <c r="U42" i="1" s="1"/>
  <c r="T43" i="1"/>
  <c r="U43" i="1" s="1"/>
  <c r="T44" i="1"/>
  <c r="U44" i="1" s="1"/>
  <c r="T45" i="1"/>
  <c r="U45" i="1" s="1"/>
  <c r="T46" i="1"/>
  <c r="U46" i="1" s="1"/>
  <c r="T47" i="1"/>
  <c r="U47" i="1" s="1"/>
  <c r="T48" i="1"/>
  <c r="U48" i="1" s="1"/>
  <c r="T49" i="1"/>
  <c r="U49" i="1" s="1"/>
  <c r="T50" i="1"/>
  <c r="U50" i="1" s="1"/>
  <c r="T51" i="1"/>
  <c r="U51" i="1" s="1"/>
  <c r="T52" i="1"/>
  <c r="U52" i="1" s="1"/>
  <c r="T53" i="1"/>
  <c r="U53" i="1" s="1"/>
  <c r="T54" i="1"/>
  <c r="U54" i="1" s="1"/>
  <c r="T55" i="1"/>
  <c r="U55" i="1" s="1"/>
  <c r="T56" i="1"/>
  <c r="U56" i="1" s="1"/>
  <c r="T57" i="1"/>
  <c r="U57" i="1" s="1"/>
  <c r="T58" i="1"/>
  <c r="U58" i="1" s="1"/>
  <c r="T59" i="1"/>
  <c r="U59" i="1" s="1"/>
  <c r="T60" i="1"/>
  <c r="U60" i="1" s="1"/>
  <c r="T61" i="1"/>
  <c r="U61" i="1" s="1"/>
  <c r="T62" i="1"/>
  <c r="U62" i="1" s="1"/>
  <c r="T63" i="1"/>
  <c r="U63" i="1" s="1"/>
  <c r="T64" i="1"/>
  <c r="U64" i="1" s="1"/>
  <c r="T65" i="1"/>
  <c r="U65" i="1" s="1"/>
  <c r="T66" i="1"/>
  <c r="U66" i="1" s="1"/>
  <c r="T67" i="1"/>
  <c r="U67" i="1" s="1"/>
  <c r="T68" i="1"/>
  <c r="U68" i="1" s="1"/>
  <c r="T69" i="1"/>
  <c r="U69" i="1" s="1"/>
  <c r="T70" i="1"/>
  <c r="U70" i="1" s="1"/>
  <c r="T71" i="1"/>
  <c r="U71" i="1" s="1"/>
  <c r="T72" i="1"/>
  <c r="U72" i="1" s="1"/>
  <c r="T73" i="1"/>
  <c r="U73" i="1" s="1"/>
  <c r="T74" i="1"/>
  <c r="U74" i="1" s="1"/>
  <c r="T75" i="1"/>
  <c r="U75" i="1" s="1"/>
  <c r="T76" i="1"/>
  <c r="U76" i="1" s="1"/>
  <c r="T77" i="1"/>
  <c r="U77" i="1" s="1"/>
  <c r="T78" i="1"/>
  <c r="U78" i="1" s="1"/>
  <c r="T79" i="1"/>
  <c r="U79" i="1" s="1"/>
  <c r="T80" i="1"/>
  <c r="U80" i="1" s="1"/>
  <c r="T81" i="1"/>
  <c r="U81" i="1" s="1"/>
  <c r="T82" i="1"/>
  <c r="U82" i="1" s="1"/>
  <c r="T83" i="1"/>
  <c r="U83" i="1" s="1"/>
  <c r="T84" i="1"/>
  <c r="U84" i="1" s="1"/>
  <c r="T85" i="1"/>
  <c r="U85" i="1" s="1"/>
  <c r="T86" i="1"/>
  <c r="U86" i="1" s="1"/>
  <c r="T87" i="1"/>
  <c r="U87" i="1" s="1"/>
  <c r="T88" i="1"/>
  <c r="U88" i="1" s="1"/>
  <c r="T89" i="1"/>
  <c r="U89" i="1" s="1"/>
  <c r="T90" i="1"/>
  <c r="U90" i="1" s="1"/>
  <c r="T91" i="1"/>
  <c r="U91" i="1" s="1"/>
  <c r="T92" i="1"/>
  <c r="U92" i="1" s="1"/>
  <c r="T93" i="1"/>
  <c r="U93" i="1" s="1"/>
  <c r="T94" i="1"/>
  <c r="U94" i="1" s="1"/>
  <c r="T95" i="1"/>
  <c r="U95" i="1" s="1"/>
  <c r="T96" i="1"/>
  <c r="U96" i="1" s="1"/>
  <c r="T97" i="1"/>
  <c r="U97" i="1" s="1"/>
  <c r="T98" i="1"/>
  <c r="U98" i="1" s="1"/>
  <c r="T99" i="1"/>
  <c r="U99" i="1" s="1"/>
  <c r="T100" i="1"/>
  <c r="U100" i="1" s="1"/>
  <c r="T101" i="1"/>
  <c r="U101" i="1" s="1"/>
  <c r="T102" i="1"/>
  <c r="U102" i="1" s="1"/>
  <c r="T103" i="1"/>
  <c r="U103" i="1" s="1"/>
  <c r="T104" i="1"/>
  <c r="U104" i="1" s="1"/>
  <c r="T105" i="1"/>
  <c r="U105" i="1" s="1"/>
  <c r="T106" i="1"/>
  <c r="U106" i="1" s="1"/>
  <c r="T107" i="1"/>
  <c r="U107" i="1" s="1"/>
  <c r="T108" i="1"/>
  <c r="U108" i="1" s="1"/>
  <c r="T109" i="1"/>
  <c r="U109" i="1" s="1"/>
  <c r="T110" i="1"/>
  <c r="U110" i="1" s="1"/>
  <c r="T111" i="1"/>
  <c r="U111" i="1" s="1"/>
  <c r="T112" i="1"/>
  <c r="U112" i="1" s="1"/>
  <c r="T113" i="1"/>
  <c r="U113" i="1" s="1"/>
  <c r="T114" i="1"/>
  <c r="U114" i="1" s="1"/>
  <c r="T115" i="1"/>
  <c r="U115" i="1" s="1"/>
  <c r="T116" i="1"/>
  <c r="U116" i="1" s="1"/>
  <c r="T117" i="1"/>
  <c r="U117" i="1" s="1"/>
  <c r="T118" i="1"/>
  <c r="U118" i="1" s="1"/>
  <c r="T119" i="1"/>
  <c r="U119" i="1" s="1"/>
  <c r="T120" i="1"/>
  <c r="U120" i="1" s="1"/>
  <c r="T121" i="1"/>
  <c r="U121" i="1" s="1"/>
  <c r="T122" i="1"/>
  <c r="U122" i="1" s="1"/>
  <c r="T123" i="1"/>
  <c r="U123" i="1" s="1"/>
  <c r="T124" i="1"/>
  <c r="U124" i="1" s="1"/>
  <c r="T125" i="1"/>
  <c r="U125" i="1" s="1"/>
  <c r="T126" i="1"/>
  <c r="U126" i="1" s="1"/>
  <c r="T127" i="1"/>
  <c r="U127" i="1" s="1"/>
  <c r="T128" i="1"/>
  <c r="U128" i="1" s="1"/>
  <c r="T129" i="1"/>
  <c r="U129" i="1" s="1"/>
  <c r="T130" i="1"/>
  <c r="U130" i="1" s="1"/>
  <c r="T131" i="1"/>
  <c r="U131" i="1" s="1"/>
  <c r="T132" i="1"/>
  <c r="U132" i="1" s="1"/>
  <c r="T133" i="1"/>
  <c r="U133" i="1" s="1"/>
  <c r="T134" i="1"/>
  <c r="U134" i="1" s="1"/>
  <c r="T135" i="1"/>
  <c r="U135" i="1" s="1"/>
  <c r="T136" i="1"/>
  <c r="U136" i="1" s="1"/>
  <c r="T137" i="1"/>
  <c r="U137" i="1" s="1"/>
  <c r="T138" i="1"/>
  <c r="U138" i="1" s="1"/>
  <c r="T139" i="1"/>
  <c r="U139" i="1" s="1"/>
  <c r="T140" i="1"/>
  <c r="U140" i="1" s="1"/>
  <c r="T141" i="1"/>
  <c r="U141" i="1" s="1"/>
  <c r="T142" i="1"/>
  <c r="U142" i="1" s="1"/>
  <c r="T143" i="1"/>
  <c r="U143" i="1" s="1"/>
  <c r="T144" i="1"/>
  <c r="U144" i="1" s="1"/>
  <c r="T145" i="1"/>
  <c r="U145" i="1" s="1"/>
  <c r="T146" i="1"/>
  <c r="U146" i="1" s="1"/>
  <c r="T147" i="1"/>
  <c r="U147" i="1" s="1"/>
  <c r="T148" i="1"/>
  <c r="U148" i="1" s="1"/>
  <c r="T149" i="1"/>
  <c r="U149" i="1" s="1"/>
  <c r="T150" i="1"/>
  <c r="U150" i="1" s="1"/>
  <c r="T151" i="1"/>
  <c r="U151" i="1" s="1"/>
  <c r="T152" i="1"/>
  <c r="U152" i="1" s="1"/>
  <c r="T153" i="1"/>
  <c r="U153" i="1" s="1"/>
  <c r="T154" i="1"/>
  <c r="U154" i="1" s="1"/>
  <c r="T155" i="1"/>
  <c r="U155" i="1" s="1"/>
  <c r="T156" i="1"/>
  <c r="U156" i="1" s="1"/>
  <c r="T157" i="1"/>
  <c r="U157" i="1" s="1"/>
  <c r="T158" i="1"/>
  <c r="U158" i="1" s="1"/>
  <c r="T159" i="1"/>
  <c r="U159" i="1" s="1"/>
  <c r="T160" i="1"/>
  <c r="U160" i="1" s="1"/>
  <c r="T161" i="1"/>
  <c r="U161" i="1" s="1"/>
  <c r="T162" i="1"/>
  <c r="U162" i="1" s="1"/>
  <c r="T163" i="1"/>
  <c r="U163" i="1" s="1"/>
  <c r="T164" i="1"/>
  <c r="U164" i="1" s="1"/>
  <c r="T165" i="1"/>
  <c r="U165" i="1" s="1"/>
  <c r="T166" i="1"/>
  <c r="U166" i="1" s="1"/>
  <c r="T167" i="1"/>
  <c r="U167" i="1" s="1"/>
  <c r="T168" i="1"/>
  <c r="U168" i="1" s="1"/>
  <c r="T169" i="1"/>
  <c r="U169" i="1" s="1"/>
  <c r="T170" i="1"/>
  <c r="U170" i="1" s="1"/>
  <c r="T171" i="1"/>
  <c r="U171" i="1" s="1"/>
  <c r="T172" i="1"/>
  <c r="U172" i="1" s="1"/>
  <c r="T173" i="1"/>
  <c r="U173" i="1" s="1"/>
  <c r="T174" i="1"/>
  <c r="U174" i="1" s="1"/>
  <c r="T175" i="1"/>
  <c r="U175" i="1" s="1"/>
  <c r="T176" i="1"/>
  <c r="U176" i="1" s="1"/>
  <c r="T177" i="1"/>
  <c r="U177" i="1" s="1"/>
  <c r="T178" i="1"/>
  <c r="U178" i="1" s="1"/>
  <c r="T179" i="1"/>
  <c r="U179" i="1" s="1"/>
  <c r="T180" i="1"/>
  <c r="U180" i="1" s="1"/>
  <c r="T181" i="1"/>
  <c r="U181" i="1" s="1"/>
  <c r="T182" i="1"/>
  <c r="U182" i="1" s="1"/>
  <c r="T183" i="1"/>
  <c r="U183" i="1" s="1"/>
  <c r="T184" i="1"/>
  <c r="U184" i="1" s="1"/>
  <c r="T185" i="1"/>
  <c r="U185" i="1" s="1"/>
  <c r="T186" i="1"/>
  <c r="U186" i="1" s="1"/>
  <c r="T187" i="1"/>
  <c r="U187" i="1" s="1"/>
  <c r="T188" i="1"/>
  <c r="U188" i="1" s="1"/>
  <c r="T189" i="1"/>
  <c r="U189" i="1" s="1"/>
  <c r="T190" i="1"/>
  <c r="U190" i="1" s="1"/>
  <c r="T191" i="1"/>
  <c r="U191" i="1" s="1"/>
  <c r="T192" i="1"/>
  <c r="U192" i="1" s="1"/>
  <c r="T193" i="1"/>
  <c r="U193" i="1" s="1"/>
  <c r="T194" i="1"/>
  <c r="U194" i="1" s="1"/>
  <c r="T195" i="1"/>
  <c r="U195" i="1" s="1"/>
  <c r="T196" i="1"/>
  <c r="U196" i="1" s="1"/>
  <c r="T197" i="1"/>
  <c r="U197" i="1" s="1"/>
  <c r="T198" i="1"/>
  <c r="U198" i="1" s="1"/>
  <c r="T199" i="1"/>
  <c r="U199" i="1" s="1"/>
  <c r="T200" i="1"/>
  <c r="U200" i="1" s="1"/>
  <c r="T201" i="1"/>
  <c r="U201" i="1" s="1"/>
  <c r="T202" i="1"/>
  <c r="U202" i="1" s="1"/>
  <c r="T203" i="1"/>
  <c r="U203" i="1" s="1"/>
  <c r="T204" i="1"/>
  <c r="U204" i="1" s="1"/>
  <c r="T205" i="1"/>
  <c r="U205" i="1" s="1"/>
  <c r="T206" i="1"/>
  <c r="U206" i="1" s="1"/>
  <c r="T207" i="1"/>
  <c r="U207" i="1" s="1"/>
  <c r="T208" i="1"/>
  <c r="U208" i="1" s="1"/>
  <c r="T209" i="1"/>
  <c r="U209" i="1" s="1"/>
  <c r="T210" i="1"/>
  <c r="U210" i="1" s="1"/>
  <c r="T211" i="1"/>
  <c r="U211" i="1" s="1"/>
  <c r="T212" i="1"/>
  <c r="U212" i="1" s="1"/>
  <c r="T213" i="1"/>
  <c r="U213" i="1" s="1"/>
  <c r="T214" i="1"/>
  <c r="U214" i="1" s="1"/>
  <c r="T215" i="1"/>
  <c r="U215" i="1" s="1"/>
  <c r="T216" i="1"/>
  <c r="U216" i="1" s="1"/>
  <c r="T217" i="1"/>
  <c r="U217" i="1" s="1"/>
  <c r="T218" i="1"/>
  <c r="U218" i="1" s="1"/>
  <c r="T219" i="1"/>
  <c r="U219" i="1" s="1"/>
  <c r="T220" i="1"/>
  <c r="U220" i="1" s="1"/>
  <c r="T221" i="1"/>
  <c r="U221" i="1" s="1"/>
  <c r="T222" i="1"/>
  <c r="U222" i="1" s="1"/>
  <c r="T223" i="1"/>
  <c r="U223" i="1" s="1"/>
  <c r="T224" i="1"/>
  <c r="U224" i="1" s="1"/>
  <c r="T225" i="1"/>
  <c r="U225" i="1" s="1"/>
  <c r="T226" i="1"/>
  <c r="U226" i="1" s="1"/>
  <c r="T227" i="1"/>
  <c r="U227" i="1" s="1"/>
  <c r="T228" i="1"/>
  <c r="U228" i="1" s="1"/>
  <c r="T229" i="1"/>
  <c r="U229" i="1" s="1"/>
  <c r="T230" i="1"/>
  <c r="U230" i="1" s="1"/>
  <c r="T231" i="1"/>
  <c r="U231" i="1" s="1"/>
  <c r="T232" i="1"/>
  <c r="U232" i="1" s="1"/>
  <c r="T233" i="1"/>
  <c r="U233" i="1" s="1"/>
  <c r="T234" i="1"/>
  <c r="U234" i="1" s="1"/>
  <c r="T235" i="1"/>
  <c r="U235" i="1" s="1"/>
  <c r="T236" i="1"/>
  <c r="U236" i="1" s="1"/>
  <c r="T237" i="1"/>
  <c r="U237" i="1" s="1"/>
  <c r="T238" i="1"/>
  <c r="U238" i="1" s="1"/>
  <c r="T239" i="1"/>
  <c r="U239" i="1" s="1"/>
  <c r="T240" i="1"/>
  <c r="U240" i="1" s="1"/>
  <c r="T241" i="1"/>
  <c r="U241" i="1" s="1"/>
  <c r="T242" i="1"/>
  <c r="U242" i="1" s="1"/>
  <c r="T243" i="1"/>
  <c r="U243" i="1" s="1"/>
  <c r="T244" i="1"/>
  <c r="U244" i="1" s="1"/>
  <c r="T245" i="1"/>
  <c r="U245" i="1" s="1"/>
  <c r="T246" i="1"/>
  <c r="U246" i="1" s="1"/>
  <c r="T247" i="1"/>
  <c r="U247" i="1" s="1"/>
  <c r="T248" i="1"/>
  <c r="U248" i="1" s="1"/>
  <c r="T249" i="1"/>
  <c r="U249" i="1" s="1"/>
  <c r="T250" i="1"/>
  <c r="U250" i="1" s="1"/>
  <c r="T251" i="1"/>
  <c r="U251" i="1" s="1"/>
  <c r="T252" i="1"/>
  <c r="U252" i="1" s="1"/>
  <c r="T253" i="1"/>
  <c r="U253" i="1" s="1"/>
  <c r="T254" i="1"/>
  <c r="U254" i="1" s="1"/>
  <c r="T255" i="1"/>
  <c r="U255" i="1" s="1"/>
  <c r="T256" i="1"/>
  <c r="U256" i="1" s="1"/>
  <c r="T257" i="1"/>
  <c r="U257" i="1" s="1"/>
  <c r="T258" i="1"/>
  <c r="U258" i="1" s="1"/>
  <c r="T259" i="1"/>
  <c r="U259" i="1" s="1"/>
  <c r="T260" i="1"/>
  <c r="U260" i="1" s="1"/>
  <c r="T261" i="1"/>
  <c r="U261" i="1" s="1"/>
  <c r="T262" i="1"/>
  <c r="U262" i="1" s="1"/>
  <c r="T263" i="1"/>
  <c r="U263" i="1" s="1"/>
  <c r="T264" i="1"/>
  <c r="U264" i="1" s="1"/>
  <c r="T265" i="1"/>
  <c r="U265" i="1" s="1"/>
  <c r="T266" i="1"/>
  <c r="U266" i="1" s="1"/>
  <c r="T267" i="1"/>
  <c r="U267" i="1" s="1"/>
  <c r="T268" i="1"/>
  <c r="U268" i="1" s="1"/>
  <c r="T269" i="1"/>
  <c r="U269" i="1" s="1"/>
  <c r="T270" i="1"/>
  <c r="U270" i="1" s="1"/>
  <c r="T271" i="1"/>
  <c r="U271" i="1" s="1"/>
  <c r="T272" i="1"/>
  <c r="U272" i="1" s="1"/>
  <c r="T273" i="1"/>
  <c r="U273" i="1" s="1"/>
  <c r="T274" i="1"/>
  <c r="U274" i="1" s="1"/>
  <c r="T275" i="1"/>
  <c r="U275" i="1" s="1"/>
  <c r="T276" i="1"/>
  <c r="U276" i="1" s="1"/>
  <c r="T277" i="1"/>
  <c r="U277" i="1" s="1"/>
  <c r="T278" i="1"/>
  <c r="U278" i="1" s="1"/>
  <c r="T279" i="1"/>
  <c r="U279" i="1" s="1"/>
  <c r="T280" i="1"/>
  <c r="U280" i="1" s="1"/>
  <c r="T281" i="1"/>
  <c r="U281" i="1" s="1"/>
  <c r="T282" i="1"/>
  <c r="U282" i="1" s="1"/>
  <c r="T283" i="1"/>
  <c r="U283" i="1" s="1"/>
  <c r="T284" i="1"/>
  <c r="U284" i="1" s="1"/>
  <c r="T285" i="1"/>
  <c r="U285" i="1" s="1"/>
  <c r="T286" i="1"/>
  <c r="U286" i="1" s="1"/>
  <c r="T287" i="1"/>
  <c r="U287" i="1" s="1"/>
  <c r="T288" i="1"/>
  <c r="U288" i="1" s="1"/>
  <c r="T289" i="1"/>
  <c r="U289" i="1" s="1"/>
  <c r="T290" i="1"/>
  <c r="U290" i="1" s="1"/>
  <c r="T291" i="1"/>
  <c r="U291" i="1" s="1"/>
  <c r="T292" i="1"/>
  <c r="U292" i="1" s="1"/>
  <c r="T293" i="1"/>
  <c r="U293" i="1" s="1"/>
  <c r="T294" i="1"/>
  <c r="U294" i="1" s="1"/>
  <c r="T295" i="1"/>
  <c r="U295" i="1" s="1"/>
  <c r="T296" i="1"/>
  <c r="U296" i="1" s="1"/>
  <c r="T297" i="1"/>
  <c r="U297" i="1" s="1"/>
  <c r="T298" i="1"/>
  <c r="U298" i="1" s="1"/>
  <c r="T299" i="1"/>
  <c r="U299" i="1" s="1"/>
  <c r="T300" i="1"/>
  <c r="U300" i="1" s="1"/>
  <c r="T301" i="1"/>
  <c r="U301" i="1" s="1"/>
  <c r="T302" i="1"/>
  <c r="U302" i="1" s="1"/>
  <c r="T303" i="1"/>
  <c r="U303" i="1" s="1"/>
  <c r="T304" i="1"/>
  <c r="U304" i="1" s="1"/>
  <c r="T305" i="1"/>
  <c r="U305" i="1" s="1"/>
  <c r="T306" i="1"/>
  <c r="U306" i="1" s="1"/>
  <c r="T307" i="1"/>
  <c r="U307" i="1" s="1"/>
  <c r="T308" i="1"/>
  <c r="U308" i="1" s="1"/>
  <c r="T309" i="1"/>
  <c r="U309" i="1" s="1"/>
  <c r="T310" i="1"/>
  <c r="U310" i="1" s="1"/>
  <c r="T311" i="1"/>
  <c r="U311" i="1" s="1"/>
  <c r="T312" i="1"/>
  <c r="U312" i="1" s="1"/>
  <c r="T313" i="1"/>
  <c r="U313" i="1" s="1"/>
  <c r="T314" i="1"/>
  <c r="U314" i="1" s="1"/>
  <c r="T315" i="1"/>
  <c r="U315" i="1" s="1"/>
  <c r="T316" i="1"/>
  <c r="U316" i="1" s="1"/>
  <c r="T317" i="1"/>
  <c r="U317" i="1" s="1"/>
  <c r="T318" i="1"/>
  <c r="U318" i="1" s="1"/>
  <c r="T319" i="1"/>
  <c r="U319" i="1" s="1"/>
  <c r="T320" i="1"/>
  <c r="U320" i="1" s="1"/>
  <c r="T321" i="1"/>
  <c r="U321" i="1" s="1"/>
  <c r="T322" i="1"/>
  <c r="U322" i="1" s="1"/>
  <c r="T323" i="1"/>
  <c r="U323" i="1" s="1"/>
  <c r="T324" i="1"/>
  <c r="U324" i="1" s="1"/>
  <c r="T325" i="1"/>
  <c r="U325" i="1" s="1"/>
  <c r="T326" i="1"/>
  <c r="U326" i="1" s="1"/>
  <c r="T327" i="1"/>
  <c r="U327" i="1" s="1"/>
  <c r="T328" i="1"/>
  <c r="U328" i="1" s="1"/>
  <c r="T329" i="1"/>
  <c r="U329" i="1" s="1"/>
  <c r="T330" i="1"/>
  <c r="U330" i="1" s="1"/>
  <c r="T331" i="1"/>
  <c r="U331" i="1" s="1"/>
  <c r="T332" i="1"/>
  <c r="U332" i="1" s="1"/>
  <c r="T333" i="1"/>
  <c r="U333" i="1" s="1"/>
  <c r="T334" i="1"/>
  <c r="U334" i="1" s="1"/>
  <c r="T335" i="1"/>
  <c r="U335" i="1" s="1"/>
  <c r="T336" i="1"/>
  <c r="U336" i="1" s="1"/>
  <c r="T337" i="1"/>
  <c r="U337" i="1" s="1"/>
  <c r="T338" i="1"/>
  <c r="U338" i="1" s="1"/>
  <c r="T339" i="1"/>
  <c r="U339" i="1" s="1"/>
  <c r="T340" i="1"/>
  <c r="U340" i="1" s="1"/>
  <c r="T341" i="1"/>
  <c r="U341" i="1" s="1"/>
  <c r="T342" i="1"/>
  <c r="U342" i="1" s="1"/>
  <c r="T343" i="1"/>
  <c r="U343" i="1" s="1"/>
  <c r="T344" i="1"/>
  <c r="U344" i="1" s="1"/>
  <c r="T345" i="1"/>
  <c r="U345" i="1" s="1"/>
  <c r="T346" i="1"/>
  <c r="U346" i="1" s="1"/>
  <c r="T347" i="1"/>
  <c r="U347" i="1" s="1"/>
  <c r="T348" i="1"/>
  <c r="U348" i="1" s="1"/>
  <c r="T349" i="1"/>
  <c r="U349" i="1" s="1"/>
  <c r="T350" i="1"/>
  <c r="U350" i="1" s="1"/>
  <c r="T351" i="1"/>
  <c r="U351" i="1" s="1"/>
  <c r="T352" i="1"/>
  <c r="U352" i="1" s="1"/>
  <c r="T353" i="1"/>
  <c r="U353" i="1" s="1"/>
  <c r="T354" i="1"/>
  <c r="U354" i="1" s="1"/>
  <c r="T355" i="1"/>
  <c r="U355" i="1" s="1"/>
  <c r="T356" i="1"/>
  <c r="U356" i="1" s="1"/>
  <c r="T357" i="1"/>
  <c r="U357" i="1" s="1"/>
  <c r="T358" i="1"/>
  <c r="U358" i="1" s="1"/>
  <c r="T359" i="1"/>
  <c r="U359" i="1" s="1"/>
  <c r="T360" i="1"/>
  <c r="U360" i="1" s="1"/>
  <c r="T361" i="1"/>
  <c r="U361" i="1" s="1"/>
  <c r="T362" i="1"/>
  <c r="U362" i="1" s="1"/>
  <c r="T363" i="1"/>
  <c r="U363" i="1" s="1"/>
  <c r="T364" i="1"/>
  <c r="U364" i="1" s="1"/>
  <c r="T365" i="1"/>
  <c r="U365" i="1" s="1"/>
  <c r="T366" i="1"/>
  <c r="U366" i="1" s="1"/>
  <c r="T367" i="1"/>
  <c r="U367" i="1" s="1"/>
  <c r="T368" i="1"/>
  <c r="U368" i="1" s="1"/>
  <c r="T369" i="1"/>
  <c r="U369" i="1" s="1"/>
  <c r="T370" i="1"/>
  <c r="U370" i="1" s="1"/>
  <c r="T371" i="1"/>
  <c r="U371" i="1" s="1"/>
  <c r="T372" i="1"/>
  <c r="U372" i="1" s="1"/>
  <c r="T373" i="1"/>
  <c r="U373" i="1" s="1"/>
  <c r="T374" i="1"/>
  <c r="U374" i="1" s="1"/>
  <c r="T375" i="1"/>
  <c r="U375" i="1" s="1"/>
  <c r="T376" i="1"/>
  <c r="U376" i="1" s="1"/>
  <c r="T377" i="1"/>
  <c r="U377" i="1" s="1"/>
  <c r="T378" i="1"/>
  <c r="U378" i="1" s="1"/>
  <c r="T379" i="1"/>
  <c r="U379" i="1" s="1"/>
  <c r="T380" i="1"/>
  <c r="U380" i="1" s="1"/>
  <c r="T381" i="1"/>
  <c r="U381" i="1" s="1"/>
  <c r="T382" i="1"/>
  <c r="U382" i="1" s="1"/>
  <c r="T383" i="1"/>
  <c r="U383" i="1" s="1"/>
  <c r="T384" i="1"/>
  <c r="U384" i="1" s="1"/>
  <c r="T385" i="1"/>
  <c r="U385" i="1" s="1"/>
  <c r="T386" i="1"/>
  <c r="U386" i="1" s="1"/>
  <c r="T387" i="1"/>
  <c r="U387" i="1" s="1"/>
  <c r="T388" i="1"/>
  <c r="U388" i="1" s="1"/>
  <c r="T389" i="1"/>
  <c r="U389" i="1" s="1"/>
  <c r="T390" i="1"/>
  <c r="U390" i="1" s="1"/>
  <c r="T391" i="1"/>
  <c r="U391" i="1" s="1"/>
  <c r="T392" i="1"/>
  <c r="U392" i="1" s="1"/>
  <c r="T393" i="1"/>
  <c r="U393" i="1" s="1"/>
  <c r="T394" i="1"/>
  <c r="U394" i="1" s="1"/>
  <c r="T395" i="1"/>
  <c r="U395" i="1" s="1"/>
  <c r="T396" i="1"/>
  <c r="U396" i="1" s="1"/>
  <c r="T397" i="1"/>
  <c r="U397" i="1" s="1"/>
  <c r="T398" i="1"/>
  <c r="U398" i="1" s="1"/>
  <c r="T399" i="1"/>
  <c r="U399" i="1" s="1"/>
  <c r="T400" i="1"/>
  <c r="U400" i="1" s="1"/>
  <c r="T401" i="1"/>
  <c r="U401" i="1" s="1"/>
  <c r="T402" i="1"/>
  <c r="U402" i="1" s="1"/>
  <c r="T403" i="1"/>
  <c r="U403" i="1" s="1"/>
  <c r="T404" i="1"/>
  <c r="U404" i="1" s="1"/>
  <c r="T405" i="1"/>
  <c r="U405" i="1" s="1"/>
  <c r="T406" i="1"/>
  <c r="U406" i="1" s="1"/>
  <c r="T407" i="1"/>
  <c r="U407" i="1" s="1"/>
  <c r="T408" i="1"/>
  <c r="U408" i="1" s="1"/>
  <c r="T409" i="1"/>
  <c r="U409" i="1" s="1"/>
  <c r="T410" i="1"/>
  <c r="U410" i="1" s="1"/>
  <c r="T411" i="1"/>
  <c r="U411" i="1" s="1"/>
  <c r="T412" i="1"/>
  <c r="U412" i="1" s="1"/>
  <c r="T413" i="1"/>
  <c r="U413" i="1" s="1"/>
  <c r="T414" i="1"/>
  <c r="U414" i="1" s="1"/>
  <c r="T415" i="1"/>
  <c r="U415" i="1" s="1"/>
  <c r="T416" i="1"/>
  <c r="U416" i="1" s="1"/>
  <c r="T417" i="1"/>
  <c r="U417" i="1" s="1"/>
  <c r="T418" i="1"/>
  <c r="U418" i="1" s="1"/>
  <c r="T419" i="1"/>
  <c r="U419" i="1" s="1"/>
  <c r="T420" i="1"/>
  <c r="U420" i="1" s="1"/>
  <c r="T421" i="1"/>
  <c r="U421" i="1" s="1"/>
  <c r="T422" i="1"/>
  <c r="U422" i="1" s="1"/>
  <c r="T423" i="1"/>
  <c r="U423" i="1" s="1"/>
  <c r="T424" i="1"/>
  <c r="U424" i="1" s="1"/>
  <c r="T425" i="1"/>
  <c r="U425" i="1" s="1"/>
  <c r="T426" i="1"/>
  <c r="U426" i="1" s="1"/>
  <c r="T427" i="1"/>
  <c r="U427" i="1" s="1"/>
  <c r="T428" i="1"/>
  <c r="U428" i="1" s="1"/>
  <c r="T429" i="1"/>
  <c r="U429" i="1" s="1"/>
  <c r="T430" i="1"/>
  <c r="U430" i="1" s="1"/>
  <c r="T431" i="1"/>
  <c r="U431" i="1" s="1"/>
  <c r="T432" i="1"/>
  <c r="U432" i="1" s="1"/>
  <c r="T433" i="1"/>
  <c r="U433" i="1" s="1"/>
  <c r="T434" i="1"/>
  <c r="U434" i="1" s="1"/>
  <c r="T435" i="1"/>
  <c r="U435" i="1" s="1"/>
  <c r="T436" i="1"/>
  <c r="U436" i="1" s="1"/>
  <c r="T437" i="1"/>
  <c r="U437" i="1" s="1"/>
  <c r="T438" i="1"/>
  <c r="U438" i="1" s="1"/>
  <c r="T439" i="1"/>
  <c r="U439" i="1" s="1"/>
  <c r="T440" i="1"/>
  <c r="U440" i="1" s="1"/>
  <c r="T441" i="1"/>
  <c r="U441" i="1" s="1"/>
  <c r="T442" i="1"/>
  <c r="U442" i="1" s="1"/>
  <c r="T443" i="1"/>
  <c r="U443" i="1" s="1"/>
  <c r="T444" i="1"/>
  <c r="U444" i="1" s="1"/>
  <c r="T445" i="1"/>
  <c r="U445" i="1" s="1"/>
  <c r="T446" i="1"/>
  <c r="U446" i="1" s="1"/>
  <c r="T447" i="1"/>
  <c r="U447" i="1" s="1"/>
  <c r="T448" i="1"/>
  <c r="U448" i="1" s="1"/>
  <c r="T449" i="1"/>
  <c r="U449" i="1" s="1"/>
  <c r="T450" i="1"/>
  <c r="U450" i="1" s="1"/>
  <c r="T451" i="1"/>
  <c r="U451" i="1" s="1"/>
  <c r="T452" i="1"/>
  <c r="U452" i="1" s="1"/>
  <c r="T453" i="1"/>
  <c r="U453" i="1" s="1"/>
  <c r="T454" i="1"/>
  <c r="U454" i="1" s="1"/>
  <c r="T455" i="1"/>
  <c r="U455" i="1" s="1"/>
  <c r="T456" i="1"/>
  <c r="U456" i="1" s="1"/>
  <c r="T457" i="1"/>
  <c r="U457" i="1" s="1"/>
  <c r="T458" i="1"/>
  <c r="U458" i="1" s="1"/>
  <c r="T459" i="1"/>
  <c r="U459" i="1" s="1"/>
  <c r="T460" i="1"/>
  <c r="U460" i="1" s="1"/>
  <c r="T461" i="1"/>
  <c r="U461" i="1" s="1"/>
  <c r="T462" i="1"/>
  <c r="U462" i="1" s="1"/>
  <c r="T463" i="1"/>
  <c r="U463" i="1" s="1"/>
  <c r="T464" i="1"/>
  <c r="U464" i="1" s="1"/>
  <c r="T465" i="1"/>
  <c r="U465" i="1" s="1"/>
  <c r="T466" i="1"/>
  <c r="U466" i="1" s="1"/>
  <c r="T467" i="1"/>
  <c r="U467" i="1" s="1"/>
  <c r="T468" i="1"/>
  <c r="U468" i="1" s="1"/>
  <c r="T469" i="1"/>
  <c r="U469" i="1" s="1"/>
  <c r="T470" i="1"/>
  <c r="U470" i="1" s="1"/>
  <c r="T471" i="1"/>
  <c r="U471" i="1" s="1"/>
  <c r="T472" i="1"/>
  <c r="U472" i="1" s="1"/>
  <c r="T473" i="1"/>
  <c r="U473" i="1" s="1"/>
  <c r="T474" i="1"/>
  <c r="U474" i="1" s="1"/>
  <c r="T475" i="1"/>
  <c r="U475" i="1" s="1"/>
  <c r="T476" i="1"/>
  <c r="U476" i="1" s="1"/>
  <c r="T477" i="1"/>
  <c r="U477" i="1" s="1"/>
  <c r="T478" i="1"/>
  <c r="U478" i="1" s="1"/>
  <c r="T479" i="1"/>
  <c r="U479" i="1" s="1"/>
  <c r="T480" i="1"/>
  <c r="U480" i="1" s="1"/>
  <c r="T481" i="1"/>
  <c r="U481" i="1" s="1"/>
  <c r="T482" i="1"/>
  <c r="U482" i="1" s="1"/>
  <c r="T483" i="1"/>
  <c r="U483" i="1" s="1"/>
  <c r="T484" i="1"/>
  <c r="U484" i="1" s="1"/>
  <c r="T485" i="1"/>
  <c r="U485" i="1" s="1"/>
  <c r="T486" i="1"/>
  <c r="U486" i="1" s="1"/>
  <c r="T487" i="1"/>
  <c r="U487" i="1" s="1"/>
  <c r="T488" i="1"/>
  <c r="U488" i="1" s="1"/>
  <c r="T489" i="1"/>
  <c r="U489" i="1" s="1"/>
  <c r="T490" i="1"/>
  <c r="U490" i="1" s="1"/>
  <c r="T491" i="1"/>
  <c r="U491" i="1" s="1"/>
  <c r="T492" i="1"/>
  <c r="U492" i="1" s="1"/>
  <c r="T493" i="1"/>
  <c r="U493" i="1" s="1"/>
  <c r="T494" i="1"/>
  <c r="U494" i="1" s="1"/>
  <c r="T495" i="1"/>
  <c r="U495" i="1" s="1"/>
  <c r="T496" i="1"/>
  <c r="U496" i="1" s="1"/>
  <c r="T497" i="1"/>
  <c r="U497" i="1" s="1"/>
  <c r="T498" i="1"/>
  <c r="U498" i="1" s="1"/>
  <c r="T499" i="1"/>
  <c r="U499" i="1" s="1"/>
  <c r="T500" i="1"/>
  <c r="U500" i="1" s="1"/>
  <c r="T501" i="1"/>
  <c r="U501" i="1" s="1"/>
  <c r="T502" i="1"/>
  <c r="U502" i="1" s="1"/>
  <c r="T503" i="1"/>
  <c r="U503" i="1" s="1"/>
  <c r="T504" i="1"/>
  <c r="U504" i="1" s="1"/>
  <c r="T505" i="1"/>
  <c r="U505" i="1" s="1"/>
  <c r="T506" i="1"/>
  <c r="U506" i="1" s="1"/>
  <c r="T507" i="1"/>
  <c r="U507" i="1" s="1"/>
  <c r="T508" i="1"/>
  <c r="U508" i="1" s="1"/>
  <c r="T509" i="1"/>
  <c r="U509" i="1" s="1"/>
  <c r="T510" i="1"/>
  <c r="U510" i="1" s="1"/>
  <c r="T511" i="1"/>
  <c r="U511" i="1" s="1"/>
  <c r="T512" i="1"/>
  <c r="U512" i="1" s="1"/>
  <c r="T513" i="1"/>
  <c r="U513" i="1" s="1"/>
  <c r="T514" i="1"/>
  <c r="U514" i="1" s="1"/>
  <c r="T515" i="1"/>
  <c r="U515" i="1" s="1"/>
  <c r="T516" i="1"/>
  <c r="U516" i="1" s="1"/>
  <c r="T517" i="1"/>
  <c r="U517" i="1" s="1"/>
  <c r="T518" i="1"/>
  <c r="U518" i="1" s="1"/>
  <c r="T519" i="1"/>
  <c r="U519" i="1" s="1"/>
  <c r="T520" i="1"/>
  <c r="U520" i="1" s="1"/>
  <c r="T521" i="1"/>
  <c r="U521" i="1" s="1"/>
  <c r="T522" i="1"/>
  <c r="U522" i="1" s="1"/>
  <c r="T523" i="1"/>
  <c r="U523" i="1" s="1"/>
  <c r="T524" i="1"/>
  <c r="U524" i="1" s="1"/>
  <c r="T525" i="1"/>
  <c r="U525" i="1" s="1"/>
  <c r="T526" i="1"/>
  <c r="U526" i="1" s="1"/>
  <c r="T527" i="1"/>
  <c r="U527" i="1" s="1"/>
  <c r="T528" i="1"/>
  <c r="U528" i="1" s="1"/>
  <c r="T529" i="1"/>
  <c r="U529" i="1" s="1"/>
  <c r="T530" i="1"/>
  <c r="U530" i="1" s="1"/>
  <c r="T531" i="1"/>
  <c r="U531" i="1" s="1"/>
  <c r="T532" i="1"/>
  <c r="U532" i="1" s="1"/>
  <c r="T533" i="1"/>
  <c r="U533" i="1" s="1"/>
  <c r="T534" i="1"/>
  <c r="U534" i="1" s="1"/>
  <c r="T535" i="1"/>
  <c r="U535" i="1" s="1"/>
  <c r="T536" i="1"/>
  <c r="U536" i="1" s="1"/>
  <c r="T537" i="1"/>
  <c r="U537" i="1" s="1"/>
  <c r="T538" i="1"/>
  <c r="U538" i="1" s="1"/>
  <c r="T539" i="1"/>
  <c r="U539" i="1" s="1"/>
  <c r="T540" i="1"/>
  <c r="U540" i="1" s="1"/>
  <c r="T541" i="1"/>
  <c r="U541" i="1" s="1"/>
  <c r="T542" i="1"/>
  <c r="U542" i="1" s="1"/>
  <c r="T543" i="1"/>
  <c r="U543" i="1" s="1"/>
  <c r="T544" i="1"/>
  <c r="U544" i="1" s="1"/>
  <c r="T545" i="1"/>
  <c r="U545" i="1" s="1"/>
  <c r="T546" i="1"/>
  <c r="U546" i="1" s="1"/>
  <c r="T547" i="1"/>
  <c r="U547" i="1" s="1"/>
  <c r="T548" i="1"/>
  <c r="U548" i="1" s="1"/>
  <c r="T549" i="1"/>
  <c r="U549" i="1" s="1"/>
  <c r="T550" i="1"/>
  <c r="U550" i="1" s="1"/>
  <c r="T551" i="1"/>
  <c r="U551" i="1" s="1"/>
  <c r="T552" i="1"/>
  <c r="U552" i="1" s="1"/>
  <c r="T553" i="1"/>
  <c r="U553" i="1" s="1"/>
  <c r="T554" i="1"/>
  <c r="U554" i="1" s="1"/>
  <c r="T555" i="1"/>
  <c r="U555" i="1" s="1"/>
  <c r="T556" i="1"/>
  <c r="U556" i="1" s="1"/>
  <c r="T557" i="1"/>
  <c r="U557" i="1" s="1"/>
  <c r="T558" i="1"/>
  <c r="U558" i="1" s="1"/>
  <c r="T559" i="1"/>
  <c r="U559" i="1" s="1"/>
  <c r="T560" i="1"/>
  <c r="U560" i="1" s="1"/>
  <c r="T561" i="1"/>
  <c r="U561" i="1" s="1"/>
  <c r="T562" i="1"/>
  <c r="U562" i="1" s="1"/>
  <c r="T563" i="1"/>
  <c r="U563" i="1" s="1"/>
  <c r="T564" i="1"/>
  <c r="U564" i="1" s="1"/>
  <c r="T565" i="1"/>
  <c r="U565" i="1" s="1"/>
  <c r="T566" i="1"/>
  <c r="U566" i="1" s="1"/>
  <c r="T567" i="1"/>
  <c r="U567" i="1" s="1"/>
  <c r="T568" i="1"/>
  <c r="U568" i="1" s="1"/>
  <c r="T569" i="1"/>
  <c r="U569" i="1" s="1"/>
  <c r="T570" i="1"/>
  <c r="U570" i="1" s="1"/>
  <c r="T571" i="1"/>
  <c r="U571" i="1" s="1"/>
  <c r="T572" i="1"/>
  <c r="U572" i="1" s="1"/>
  <c r="T573" i="1"/>
  <c r="U573" i="1" s="1"/>
  <c r="T574" i="1"/>
  <c r="U574" i="1" s="1"/>
  <c r="T575" i="1"/>
  <c r="U575" i="1" s="1"/>
  <c r="T576" i="1"/>
  <c r="U576" i="1" s="1"/>
  <c r="T577" i="1"/>
  <c r="U577" i="1" s="1"/>
  <c r="T578" i="1"/>
  <c r="U578" i="1" s="1"/>
  <c r="T579" i="1"/>
  <c r="U579" i="1" s="1"/>
  <c r="T580" i="1"/>
  <c r="U580" i="1" s="1"/>
  <c r="T581" i="1"/>
  <c r="U581" i="1" s="1"/>
  <c r="T582" i="1"/>
  <c r="U582" i="1" s="1"/>
  <c r="T583" i="1"/>
  <c r="U583" i="1" s="1"/>
  <c r="T584" i="1"/>
  <c r="U584" i="1" s="1"/>
  <c r="T585" i="1"/>
  <c r="U585" i="1" s="1"/>
  <c r="T586" i="1"/>
  <c r="U586" i="1" s="1"/>
  <c r="T587" i="1"/>
  <c r="U587" i="1" s="1"/>
  <c r="T588" i="1"/>
  <c r="U588" i="1" s="1"/>
  <c r="T589" i="1"/>
  <c r="U589" i="1" s="1"/>
  <c r="T590" i="1"/>
  <c r="U590" i="1" s="1"/>
  <c r="T591" i="1"/>
  <c r="U591" i="1" s="1"/>
  <c r="T592" i="1"/>
  <c r="U592" i="1" s="1"/>
  <c r="T593" i="1"/>
  <c r="U593" i="1" s="1"/>
  <c r="T594" i="1"/>
  <c r="U594" i="1" s="1"/>
  <c r="T595" i="1"/>
  <c r="U595" i="1" s="1"/>
  <c r="T596" i="1"/>
  <c r="U596" i="1" s="1"/>
  <c r="T597" i="1"/>
  <c r="U597" i="1" s="1"/>
  <c r="T598" i="1"/>
  <c r="U598" i="1" s="1"/>
  <c r="T599" i="1"/>
  <c r="U599" i="1" s="1"/>
  <c r="T600" i="1"/>
  <c r="U600" i="1" s="1"/>
  <c r="T601" i="1"/>
  <c r="U601" i="1" s="1"/>
  <c r="T602" i="1"/>
  <c r="U602" i="1" s="1"/>
  <c r="T603" i="1"/>
  <c r="U603" i="1" s="1"/>
  <c r="T604" i="1"/>
  <c r="U604" i="1" s="1"/>
  <c r="T605" i="1"/>
  <c r="U605" i="1" s="1"/>
  <c r="T606" i="1"/>
  <c r="U606" i="1" s="1"/>
  <c r="T607" i="1"/>
  <c r="U607" i="1" s="1"/>
  <c r="T608" i="1"/>
  <c r="U608" i="1" s="1"/>
  <c r="T609" i="1"/>
  <c r="U609" i="1" s="1"/>
  <c r="T610" i="1"/>
  <c r="U610" i="1" s="1"/>
  <c r="T611" i="1"/>
  <c r="U611" i="1" s="1"/>
  <c r="T612" i="1"/>
  <c r="U612" i="1" s="1"/>
  <c r="T613" i="1"/>
  <c r="U613" i="1" s="1"/>
  <c r="T614" i="1"/>
  <c r="U614" i="1" s="1"/>
  <c r="T615" i="1"/>
  <c r="U615" i="1" s="1"/>
  <c r="T616" i="1"/>
  <c r="U616" i="1" s="1"/>
  <c r="T617" i="1"/>
  <c r="U617" i="1" s="1"/>
  <c r="T618" i="1"/>
  <c r="U618" i="1" s="1"/>
  <c r="T619" i="1"/>
  <c r="U619" i="1" s="1"/>
  <c r="T620" i="1"/>
  <c r="U620" i="1" s="1"/>
  <c r="T621" i="1"/>
  <c r="U621" i="1" s="1"/>
  <c r="T622" i="1"/>
  <c r="U622" i="1" s="1"/>
  <c r="T623" i="1"/>
  <c r="U623" i="1" s="1"/>
  <c r="T624" i="1"/>
  <c r="U624" i="1" s="1"/>
  <c r="T625" i="1"/>
  <c r="U625" i="1" s="1"/>
  <c r="T626" i="1"/>
  <c r="U626" i="1" s="1"/>
  <c r="T627" i="1"/>
  <c r="U627" i="1" s="1"/>
  <c r="T628" i="1"/>
  <c r="U628" i="1" s="1"/>
  <c r="T629" i="1"/>
  <c r="U629" i="1" s="1"/>
  <c r="T630" i="1"/>
  <c r="U630" i="1" s="1"/>
  <c r="T631" i="1"/>
  <c r="U631" i="1" s="1"/>
  <c r="T632" i="1"/>
  <c r="U632" i="1" s="1"/>
  <c r="T633" i="1"/>
  <c r="U633" i="1" s="1"/>
  <c r="T634" i="1"/>
  <c r="U634" i="1" s="1"/>
  <c r="T635" i="1"/>
  <c r="U635" i="1" s="1"/>
  <c r="T636" i="1"/>
  <c r="U636" i="1" s="1"/>
  <c r="T637" i="1"/>
  <c r="U637" i="1" s="1"/>
  <c r="T638" i="1"/>
  <c r="U638" i="1" s="1"/>
  <c r="T639" i="1"/>
  <c r="U639" i="1" s="1"/>
  <c r="T640" i="1"/>
  <c r="U640" i="1" s="1"/>
  <c r="T641" i="1"/>
  <c r="U641" i="1" s="1"/>
  <c r="T642" i="1"/>
  <c r="U642" i="1" s="1"/>
  <c r="T643" i="1"/>
  <c r="U643" i="1" s="1"/>
  <c r="T644" i="1"/>
  <c r="U644" i="1" s="1"/>
  <c r="T645" i="1"/>
  <c r="U645" i="1" s="1"/>
  <c r="T646" i="1"/>
  <c r="U646" i="1" s="1"/>
  <c r="T647" i="1"/>
  <c r="U647" i="1" s="1"/>
  <c r="T648" i="1"/>
  <c r="U648" i="1" s="1"/>
  <c r="T649" i="1"/>
  <c r="U649" i="1" s="1"/>
  <c r="T650" i="1"/>
  <c r="U650" i="1" s="1"/>
  <c r="T651" i="1"/>
  <c r="U651" i="1" s="1"/>
  <c r="T652" i="1"/>
  <c r="U652" i="1" s="1"/>
  <c r="T653" i="1"/>
  <c r="U653" i="1" s="1"/>
  <c r="T654" i="1"/>
  <c r="U654" i="1" s="1"/>
  <c r="T655" i="1"/>
  <c r="U655" i="1" s="1"/>
  <c r="T656" i="1"/>
  <c r="U656" i="1" s="1"/>
  <c r="T657" i="1"/>
  <c r="U657" i="1" s="1"/>
  <c r="T658" i="1"/>
  <c r="U658" i="1" s="1"/>
  <c r="T659" i="1"/>
  <c r="U659" i="1" s="1"/>
  <c r="T660" i="1"/>
  <c r="U660" i="1" s="1"/>
  <c r="T661" i="1"/>
  <c r="U661" i="1" s="1"/>
  <c r="T662" i="1"/>
  <c r="U662" i="1" s="1"/>
  <c r="T663" i="1"/>
  <c r="U663" i="1" s="1"/>
  <c r="T664" i="1"/>
  <c r="U664" i="1" s="1"/>
  <c r="T665" i="1"/>
  <c r="U665" i="1" s="1"/>
  <c r="T666" i="1"/>
  <c r="U666" i="1" s="1"/>
  <c r="T667" i="1"/>
  <c r="U667" i="1" s="1"/>
  <c r="T668" i="1"/>
  <c r="U668" i="1" s="1"/>
  <c r="T669" i="1"/>
  <c r="U669" i="1" s="1"/>
  <c r="T670" i="1"/>
  <c r="U670" i="1" s="1"/>
  <c r="T671" i="1"/>
  <c r="U671" i="1" s="1"/>
  <c r="T672" i="1"/>
  <c r="U672" i="1" s="1"/>
  <c r="T673" i="1"/>
  <c r="U673" i="1" s="1"/>
  <c r="T674" i="1"/>
  <c r="U674" i="1" s="1"/>
  <c r="T675" i="1"/>
  <c r="U675" i="1" s="1"/>
  <c r="T676" i="1"/>
  <c r="U676" i="1" s="1"/>
  <c r="T677" i="1"/>
  <c r="U677" i="1" s="1"/>
  <c r="T678" i="1"/>
  <c r="U678" i="1" s="1"/>
  <c r="T679" i="1"/>
  <c r="U679" i="1" s="1"/>
  <c r="T680" i="1"/>
  <c r="U680" i="1" s="1"/>
  <c r="T681" i="1"/>
  <c r="U681" i="1" s="1"/>
  <c r="T682" i="1"/>
  <c r="U682" i="1" s="1"/>
  <c r="T683" i="1"/>
  <c r="U683" i="1" s="1"/>
  <c r="T684" i="1"/>
  <c r="U684" i="1" s="1"/>
  <c r="T685" i="1"/>
  <c r="U685" i="1" s="1"/>
  <c r="T686" i="1"/>
  <c r="U686" i="1" s="1"/>
  <c r="T687" i="1"/>
  <c r="U687" i="1" s="1"/>
  <c r="T688" i="1"/>
  <c r="U688" i="1" s="1"/>
  <c r="T689" i="1"/>
  <c r="U689" i="1" s="1"/>
  <c r="T690" i="1"/>
  <c r="U690" i="1" s="1"/>
  <c r="T691" i="1"/>
  <c r="U691" i="1" s="1"/>
  <c r="T692" i="1"/>
  <c r="U692" i="1" s="1"/>
  <c r="T693" i="1"/>
  <c r="U693" i="1" s="1"/>
  <c r="T694" i="1"/>
  <c r="U694" i="1" s="1"/>
  <c r="T695" i="1"/>
  <c r="U695" i="1" s="1"/>
  <c r="T696" i="1"/>
  <c r="U696" i="1" s="1"/>
  <c r="T697" i="1"/>
  <c r="U697" i="1" s="1"/>
  <c r="T698" i="1"/>
  <c r="U698" i="1" s="1"/>
  <c r="T699" i="1"/>
  <c r="U699" i="1" s="1"/>
  <c r="T700" i="1"/>
  <c r="U700" i="1" s="1"/>
  <c r="T701" i="1"/>
  <c r="U701" i="1" s="1"/>
  <c r="T702" i="1"/>
  <c r="U702" i="1" s="1"/>
  <c r="T703" i="1"/>
  <c r="U703" i="1" s="1"/>
  <c r="T704" i="1"/>
  <c r="U704" i="1" s="1"/>
  <c r="T705" i="1"/>
  <c r="U705" i="1" s="1"/>
  <c r="T706" i="1"/>
  <c r="U706" i="1" s="1"/>
  <c r="T707" i="1"/>
  <c r="U707" i="1" s="1"/>
  <c r="T708" i="1"/>
  <c r="U708" i="1" s="1"/>
  <c r="T709" i="1"/>
  <c r="U709" i="1" s="1"/>
  <c r="T710" i="1"/>
  <c r="U710" i="1" s="1"/>
  <c r="T711" i="1"/>
  <c r="U711" i="1" s="1"/>
  <c r="T712" i="1"/>
  <c r="U712" i="1" s="1"/>
  <c r="T713" i="1"/>
  <c r="U713" i="1" s="1"/>
  <c r="T714" i="1"/>
  <c r="U714" i="1" s="1"/>
  <c r="T715" i="1"/>
  <c r="U715" i="1" s="1"/>
  <c r="T716" i="1"/>
  <c r="U716" i="1" s="1"/>
  <c r="T717" i="1"/>
  <c r="U717" i="1" s="1"/>
  <c r="T718" i="1"/>
  <c r="U718" i="1" s="1"/>
  <c r="T719" i="1"/>
  <c r="U719" i="1" s="1"/>
  <c r="T720" i="1"/>
  <c r="U720" i="1" s="1"/>
  <c r="T721" i="1"/>
  <c r="U721" i="1" s="1"/>
  <c r="T722" i="1"/>
  <c r="U722" i="1" s="1"/>
  <c r="T723" i="1"/>
  <c r="U723" i="1" s="1"/>
  <c r="T724" i="1"/>
  <c r="U724" i="1" s="1"/>
  <c r="T725" i="1"/>
  <c r="U725" i="1" s="1"/>
  <c r="T726" i="1"/>
  <c r="U726" i="1" s="1"/>
  <c r="T727" i="1"/>
  <c r="U727" i="1" s="1"/>
  <c r="T728" i="1"/>
  <c r="U728" i="1" s="1"/>
  <c r="T729" i="1"/>
  <c r="U729" i="1" s="1"/>
  <c r="T730" i="1"/>
  <c r="U730" i="1" s="1"/>
  <c r="T731" i="1"/>
  <c r="U731" i="1" s="1"/>
  <c r="T732" i="1"/>
  <c r="U732" i="1" s="1"/>
  <c r="T733" i="1"/>
  <c r="U733" i="1" s="1"/>
  <c r="T734" i="1"/>
  <c r="U734" i="1" s="1"/>
  <c r="T735" i="1"/>
  <c r="U735" i="1" s="1"/>
  <c r="T736" i="1"/>
  <c r="U736" i="1" s="1"/>
  <c r="T737" i="1"/>
  <c r="U737" i="1" s="1"/>
  <c r="T738" i="1"/>
  <c r="U738" i="1" s="1"/>
  <c r="T739" i="1"/>
  <c r="U739" i="1" s="1"/>
  <c r="T740" i="1"/>
  <c r="U740" i="1" s="1"/>
  <c r="T741" i="1"/>
  <c r="U741" i="1" s="1"/>
  <c r="T742" i="1"/>
  <c r="U742" i="1" s="1"/>
  <c r="T743" i="1"/>
  <c r="U743" i="1" s="1"/>
  <c r="T744" i="1"/>
  <c r="U744" i="1" s="1"/>
  <c r="T745" i="1"/>
  <c r="U745" i="1" s="1"/>
  <c r="T746" i="1"/>
  <c r="U746" i="1" s="1"/>
  <c r="T747" i="1"/>
  <c r="U747" i="1" s="1"/>
  <c r="T748" i="1"/>
  <c r="U748" i="1" s="1"/>
  <c r="T749" i="1"/>
  <c r="U749" i="1" s="1"/>
  <c r="T750" i="1"/>
  <c r="U750" i="1" s="1"/>
  <c r="T751" i="1"/>
  <c r="U751" i="1" s="1"/>
  <c r="T752" i="1"/>
  <c r="U752" i="1" s="1"/>
  <c r="T753" i="1"/>
  <c r="U753" i="1" s="1"/>
  <c r="T754" i="1"/>
  <c r="U754" i="1" s="1"/>
  <c r="T755" i="1"/>
  <c r="U755" i="1" s="1"/>
  <c r="T756" i="1"/>
  <c r="U756" i="1" s="1"/>
  <c r="T757" i="1"/>
  <c r="U757" i="1" s="1"/>
  <c r="T758" i="1"/>
  <c r="U758" i="1" s="1"/>
  <c r="T759" i="1"/>
  <c r="U759" i="1" s="1"/>
  <c r="T760" i="1"/>
  <c r="U760" i="1" s="1"/>
  <c r="T761" i="1"/>
  <c r="U761" i="1" s="1"/>
  <c r="T762" i="1"/>
  <c r="U762" i="1" s="1"/>
  <c r="T763" i="1"/>
  <c r="U763" i="1" s="1"/>
  <c r="T764" i="1"/>
  <c r="U764" i="1" s="1"/>
  <c r="T765" i="1"/>
  <c r="U765" i="1" s="1"/>
  <c r="T766" i="1"/>
  <c r="U766" i="1" s="1"/>
  <c r="T767" i="1"/>
  <c r="U767" i="1" s="1"/>
  <c r="T768" i="1"/>
  <c r="U768" i="1" s="1"/>
  <c r="T769" i="1"/>
  <c r="U769" i="1" s="1"/>
  <c r="T770" i="1"/>
  <c r="U770" i="1" s="1"/>
  <c r="T771" i="1"/>
  <c r="U771" i="1" s="1"/>
  <c r="T772" i="1"/>
  <c r="U772" i="1" s="1"/>
  <c r="T773" i="1"/>
  <c r="U773" i="1" s="1"/>
  <c r="T774" i="1"/>
  <c r="U774" i="1" s="1"/>
  <c r="T775" i="1"/>
  <c r="U775" i="1" s="1"/>
  <c r="T776" i="1"/>
  <c r="U776" i="1" s="1"/>
  <c r="T777" i="1"/>
  <c r="U777" i="1" s="1"/>
  <c r="T778" i="1"/>
  <c r="U778" i="1" s="1"/>
  <c r="T779" i="1"/>
  <c r="U779" i="1" s="1"/>
  <c r="T780" i="1"/>
  <c r="U780" i="1" s="1"/>
  <c r="T781" i="1"/>
  <c r="U781" i="1" s="1"/>
  <c r="T782" i="1"/>
  <c r="U782" i="1" s="1"/>
  <c r="T783" i="1"/>
  <c r="U783" i="1" s="1"/>
  <c r="T784" i="1"/>
  <c r="U784" i="1" s="1"/>
  <c r="T785" i="1"/>
  <c r="U785" i="1" s="1"/>
  <c r="T786" i="1"/>
  <c r="U786" i="1" s="1"/>
  <c r="T787" i="1"/>
  <c r="U787" i="1" s="1"/>
  <c r="T788" i="1"/>
  <c r="U788" i="1" s="1"/>
  <c r="T789" i="1"/>
  <c r="U789" i="1" s="1"/>
  <c r="T790" i="1"/>
  <c r="U790" i="1" s="1"/>
  <c r="T791" i="1"/>
  <c r="U791" i="1" s="1"/>
  <c r="T792" i="1"/>
  <c r="U792" i="1" s="1"/>
  <c r="T793" i="1"/>
  <c r="U793" i="1" s="1"/>
  <c r="T794" i="1"/>
  <c r="U794" i="1" s="1"/>
  <c r="T795" i="1"/>
  <c r="U795" i="1" s="1"/>
  <c r="T796" i="1"/>
  <c r="U796" i="1" s="1"/>
  <c r="T797" i="1"/>
  <c r="U797" i="1" s="1"/>
  <c r="T798" i="1"/>
  <c r="U798" i="1" s="1"/>
  <c r="T799" i="1"/>
  <c r="U799" i="1" s="1"/>
  <c r="T800" i="1"/>
  <c r="U800" i="1" s="1"/>
  <c r="T801" i="1"/>
  <c r="U801" i="1" s="1"/>
  <c r="T802" i="1"/>
  <c r="U802" i="1" s="1"/>
  <c r="T803" i="1"/>
  <c r="U803" i="1" s="1"/>
  <c r="T804" i="1"/>
  <c r="U804" i="1" s="1"/>
  <c r="T805" i="1"/>
  <c r="U805" i="1" s="1"/>
  <c r="T806" i="1"/>
  <c r="U806" i="1" s="1"/>
  <c r="T807" i="1"/>
  <c r="U807" i="1" s="1"/>
  <c r="T808" i="1"/>
  <c r="U808" i="1" s="1"/>
  <c r="T809" i="1"/>
  <c r="U809" i="1" s="1"/>
  <c r="T810" i="1"/>
  <c r="U810" i="1" s="1"/>
  <c r="T811" i="1"/>
  <c r="U811" i="1" s="1"/>
  <c r="T812" i="1"/>
  <c r="U812" i="1" s="1"/>
  <c r="T813" i="1"/>
  <c r="U813" i="1" s="1"/>
  <c r="T814" i="1"/>
  <c r="U814" i="1" s="1"/>
  <c r="T815" i="1"/>
  <c r="U815" i="1" s="1"/>
  <c r="T816" i="1"/>
  <c r="U816" i="1" s="1"/>
  <c r="T817" i="1"/>
  <c r="U817" i="1" s="1"/>
  <c r="T818" i="1"/>
  <c r="U818" i="1" s="1"/>
  <c r="T819" i="1"/>
  <c r="U819" i="1" s="1"/>
  <c r="T820" i="1"/>
  <c r="U820" i="1" s="1"/>
  <c r="T821" i="1"/>
  <c r="U821" i="1" s="1"/>
  <c r="T822" i="1"/>
  <c r="U822" i="1" s="1"/>
  <c r="T823" i="1"/>
  <c r="U823" i="1" s="1"/>
  <c r="T824" i="1"/>
  <c r="U824" i="1" s="1"/>
  <c r="T825" i="1"/>
  <c r="U825" i="1" s="1"/>
  <c r="T826" i="1"/>
  <c r="U826" i="1" s="1"/>
  <c r="T827" i="1"/>
  <c r="U827" i="1" s="1"/>
  <c r="T828" i="1"/>
  <c r="U828" i="1" s="1"/>
  <c r="T829" i="1"/>
  <c r="U829" i="1" s="1"/>
  <c r="T830" i="1"/>
  <c r="U830" i="1" s="1"/>
  <c r="T831" i="1"/>
  <c r="U831" i="1" s="1"/>
  <c r="T832" i="1"/>
  <c r="U832" i="1" s="1"/>
  <c r="T833" i="1"/>
  <c r="U833" i="1" s="1"/>
  <c r="T834" i="1"/>
  <c r="U834" i="1" s="1"/>
  <c r="T835" i="1"/>
  <c r="U835" i="1" s="1"/>
  <c r="T836" i="1"/>
  <c r="U836" i="1" s="1"/>
  <c r="T837" i="1"/>
  <c r="U837" i="1" s="1"/>
  <c r="T838" i="1"/>
  <c r="U838" i="1" s="1"/>
  <c r="T839" i="1"/>
  <c r="U839" i="1" s="1"/>
  <c r="T840" i="1"/>
  <c r="U840" i="1" s="1"/>
  <c r="T841" i="1"/>
  <c r="U841" i="1" s="1"/>
  <c r="T842" i="1"/>
  <c r="U842" i="1" s="1"/>
  <c r="T843" i="1"/>
  <c r="U843" i="1" s="1"/>
  <c r="T844" i="1"/>
  <c r="U844" i="1" s="1"/>
  <c r="T845" i="1"/>
  <c r="U845" i="1" s="1"/>
  <c r="T846" i="1"/>
  <c r="U846" i="1" s="1"/>
  <c r="T847" i="1"/>
  <c r="U847" i="1" s="1"/>
  <c r="T848" i="1"/>
  <c r="U848" i="1" s="1"/>
  <c r="T849" i="1"/>
  <c r="U849" i="1" s="1"/>
  <c r="T850" i="1"/>
  <c r="U850" i="1" s="1"/>
  <c r="T851" i="1"/>
  <c r="U851" i="1" s="1"/>
  <c r="T852" i="1"/>
  <c r="U852" i="1" s="1"/>
  <c r="T853" i="1"/>
  <c r="U853" i="1" s="1"/>
  <c r="T854" i="1"/>
  <c r="U854" i="1" s="1"/>
  <c r="T855" i="1"/>
  <c r="U855" i="1" s="1"/>
  <c r="T856" i="1"/>
  <c r="U856" i="1" s="1"/>
  <c r="T857" i="1"/>
  <c r="U857" i="1" s="1"/>
  <c r="T858" i="1"/>
  <c r="U858" i="1" s="1"/>
  <c r="T859" i="1"/>
  <c r="U859" i="1" s="1"/>
  <c r="T860" i="1"/>
  <c r="U860" i="1" s="1"/>
  <c r="T861" i="1"/>
  <c r="U861" i="1" s="1"/>
  <c r="T862" i="1"/>
  <c r="U862" i="1" s="1"/>
  <c r="T863" i="1"/>
  <c r="U863" i="1" s="1"/>
  <c r="T864" i="1"/>
  <c r="U864" i="1" s="1"/>
  <c r="T865" i="1"/>
  <c r="U865" i="1" s="1"/>
  <c r="T866" i="1"/>
  <c r="U866" i="1" s="1"/>
  <c r="T867" i="1"/>
  <c r="U867" i="1" s="1"/>
  <c r="T868" i="1"/>
  <c r="U868" i="1" s="1"/>
  <c r="T869" i="1"/>
  <c r="U869" i="1" s="1"/>
  <c r="T870" i="1"/>
  <c r="U870" i="1" s="1"/>
  <c r="T871" i="1"/>
  <c r="U871" i="1" s="1"/>
  <c r="T872" i="1"/>
  <c r="U872" i="1" s="1"/>
  <c r="T873" i="1"/>
  <c r="U873" i="1" s="1"/>
  <c r="T874" i="1"/>
  <c r="U874" i="1" s="1"/>
  <c r="T875" i="1"/>
  <c r="U875" i="1" s="1"/>
  <c r="T876" i="1"/>
  <c r="U876" i="1" s="1"/>
  <c r="T877" i="1"/>
  <c r="U877" i="1" s="1"/>
  <c r="T878" i="1"/>
  <c r="U878" i="1" s="1"/>
  <c r="T879" i="1"/>
  <c r="U879" i="1" s="1"/>
  <c r="T880" i="1"/>
  <c r="U880" i="1" s="1"/>
  <c r="T881" i="1"/>
  <c r="U881" i="1" s="1"/>
  <c r="T882" i="1"/>
  <c r="U882" i="1" s="1"/>
  <c r="T883" i="1"/>
  <c r="U883" i="1" s="1"/>
  <c r="T884" i="1"/>
  <c r="U884" i="1" s="1"/>
  <c r="T885" i="1"/>
  <c r="U885" i="1" s="1"/>
  <c r="T886" i="1"/>
  <c r="U886" i="1" s="1"/>
  <c r="T887" i="1"/>
  <c r="U887" i="1" s="1"/>
  <c r="T888" i="1"/>
  <c r="U888" i="1" s="1"/>
  <c r="T889" i="1"/>
  <c r="U889" i="1" s="1"/>
  <c r="T890" i="1"/>
  <c r="U890" i="1" s="1"/>
  <c r="T891" i="1"/>
  <c r="U891" i="1" s="1"/>
  <c r="T892" i="1"/>
  <c r="U892" i="1" s="1"/>
  <c r="T893" i="1"/>
  <c r="U893" i="1" s="1"/>
  <c r="T894" i="1"/>
  <c r="U894" i="1" s="1"/>
  <c r="T895" i="1"/>
  <c r="U895" i="1" s="1"/>
  <c r="T896" i="1"/>
  <c r="U896" i="1" s="1"/>
  <c r="T897" i="1"/>
  <c r="U897" i="1" s="1"/>
  <c r="T898" i="1"/>
  <c r="U898" i="1" s="1"/>
  <c r="T899" i="1"/>
  <c r="U899" i="1" s="1"/>
  <c r="T900" i="1"/>
  <c r="U900" i="1" s="1"/>
  <c r="T901" i="1"/>
  <c r="U901" i="1" s="1"/>
  <c r="T902" i="1"/>
  <c r="U902" i="1" s="1"/>
  <c r="T903" i="1"/>
  <c r="U903" i="1" s="1"/>
  <c r="T904" i="1"/>
  <c r="U904" i="1" s="1"/>
  <c r="T905" i="1"/>
  <c r="U905" i="1" s="1"/>
  <c r="T906" i="1"/>
  <c r="U906" i="1" s="1"/>
  <c r="T907" i="1"/>
  <c r="U907" i="1" s="1"/>
  <c r="T908" i="1"/>
  <c r="U908" i="1" s="1"/>
  <c r="T909" i="1"/>
  <c r="U909" i="1" s="1"/>
  <c r="T910" i="1"/>
  <c r="U910" i="1" s="1"/>
  <c r="T911" i="1"/>
  <c r="U911" i="1" s="1"/>
  <c r="T912" i="1"/>
  <c r="U912" i="1" s="1"/>
  <c r="T913" i="1"/>
  <c r="U913" i="1" s="1"/>
  <c r="T914" i="1"/>
  <c r="U914" i="1" s="1"/>
  <c r="T915" i="1"/>
  <c r="U915" i="1" s="1"/>
  <c r="T916" i="1"/>
  <c r="U916" i="1" s="1"/>
  <c r="T917" i="1"/>
  <c r="U917" i="1" s="1"/>
  <c r="T918" i="1"/>
  <c r="U918" i="1" s="1"/>
  <c r="T919" i="1"/>
  <c r="U919" i="1" s="1"/>
  <c r="T920" i="1"/>
  <c r="U920" i="1" s="1"/>
  <c r="T921" i="1"/>
  <c r="U921" i="1" s="1"/>
  <c r="T922" i="1"/>
  <c r="U922" i="1" s="1"/>
  <c r="T923" i="1"/>
  <c r="U923" i="1" s="1"/>
  <c r="T924" i="1"/>
  <c r="U924" i="1" s="1"/>
  <c r="T925" i="1"/>
  <c r="U925" i="1" s="1"/>
  <c r="T926" i="1"/>
  <c r="U926" i="1" s="1"/>
  <c r="T927" i="1"/>
  <c r="U927" i="1" s="1"/>
  <c r="T928" i="1"/>
  <c r="U928" i="1" s="1"/>
  <c r="T929" i="1"/>
  <c r="U929" i="1" s="1"/>
  <c r="T930" i="1"/>
  <c r="U930" i="1" s="1"/>
  <c r="T931" i="1"/>
  <c r="U931" i="1" s="1"/>
  <c r="T932" i="1"/>
  <c r="U932" i="1" s="1"/>
  <c r="T933" i="1"/>
  <c r="U933" i="1" s="1"/>
  <c r="T934" i="1"/>
  <c r="U934" i="1" s="1"/>
  <c r="T935" i="1"/>
  <c r="U935" i="1" s="1"/>
  <c r="T936" i="1"/>
  <c r="U936" i="1" s="1"/>
  <c r="T937" i="1"/>
  <c r="U937" i="1" s="1"/>
  <c r="T938" i="1"/>
  <c r="U938" i="1" s="1"/>
  <c r="T939" i="1"/>
  <c r="U939" i="1" s="1"/>
  <c r="T940" i="1"/>
  <c r="U940" i="1" s="1"/>
  <c r="T941" i="1"/>
  <c r="U941" i="1" s="1"/>
  <c r="T942" i="1"/>
  <c r="U942" i="1" s="1"/>
  <c r="T943" i="1"/>
  <c r="U943" i="1" s="1"/>
  <c r="T944" i="1"/>
  <c r="U944" i="1" s="1"/>
  <c r="T945" i="1"/>
  <c r="U945" i="1" s="1"/>
  <c r="T946" i="1"/>
  <c r="U946" i="1" s="1"/>
  <c r="T947" i="1"/>
  <c r="U947" i="1" s="1"/>
  <c r="T948" i="1"/>
  <c r="U948" i="1" s="1"/>
  <c r="T949" i="1"/>
  <c r="U949" i="1" s="1"/>
  <c r="T950" i="1"/>
  <c r="U950" i="1" s="1"/>
  <c r="T951" i="1"/>
  <c r="U951" i="1" s="1"/>
  <c r="T952" i="1"/>
  <c r="U952" i="1" s="1"/>
  <c r="T953" i="1"/>
  <c r="U953" i="1" s="1"/>
  <c r="T954" i="1"/>
  <c r="U954" i="1" s="1"/>
  <c r="T955" i="1"/>
  <c r="U955" i="1" s="1"/>
  <c r="T956" i="1"/>
  <c r="U956" i="1" s="1"/>
  <c r="T957" i="1"/>
  <c r="U957" i="1" s="1"/>
  <c r="T958" i="1"/>
  <c r="U958" i="1" s="1"/>
  <c r="T959" i="1"/>
  <c r="U959" i="1" s="1"/>
  <c r="T960" i="1"/>
  <c r="U960" i="1" s="1"/>
  <c r="T961" i="1"/>
  <c r="U961" i="1" s="1"/>
  <c r="T962" i="1"/>
  <c r="U962" i="1" s="1"/>
  <c r="T963" i="1"/>
  <c r="U963" i="1" s="1"/>
  <c r="T964" i="1"/>
  <c r="U964" i="1" s="1"/>
  <c r="T965" i="1"/>
  <c r="U965" i="1" s="1"/>
  <c r="T966" i="1"/>
  <c r="U966" i="1" s="1"/>
  <c r="T967" i="1"/>
  <c r="U967" i="1" s="1"/>
  <c r="T968" i="1"/>
  <c r="U968" i="1" s="1"/>
  <c r="T969" i="1"/>
  <c r="U969" i="1" s="1"/>
  <c r="T970" i="1"/>
  <c r="U970" i="1" s="1"/>
  <c r="T971" i="1"/>
  <c r="U971" i="1" s="1"/>
  <c r="T972" i="1"/>
  <c r="U972" i="1" s="1"/>
  <c r="T973" i="1"/>
  <c r="U973" i="1" s="1"/>
  <c r="T974" i="1"/>
  <c r="U974" i="1" s="1"/>
  <c r="T975" i="1"/>
  <c r="U975" i="1" s="1"/>
  <c r="T976" i="1"/>
  <c r="U976" i="1" s="1"/>
  <c r="T977" i="1"/>
  <c r="U977" i="1" s="1"/>
  <c r="T978" i="1"/>
  <c r="U978" i="1" s="1"/>
  <c r="T979" i="1"/>
  <c r="U979" i="1" s="1"/>
  <c r="T980" i="1"/>
  <c r="U980" i="1" s="1"/>
  <c r="T981" i="1"/>
  <c r="U981" i="1" s="1"/>
  <c r="T982" i="1"/>
  <c r="U982" i="1" s="1"/>
  <c r="T983" i="1"/>
  <c r="U983" i="1" s="1"/>
  <c r="T984" i="1"/>
  <c r="U984" i="1" s="1"/>
  <c r="T985" i="1"/>
  <c r="U985" i="1" s="1"/>
  <c r="T986" i="1"/>
  <c r="U986" i="1" s="1"/>
  <c r="T987" i="1"/>
  <c r="U987" i="1" s="1"/>
  <c r="T988" i="1"/>
  <c r="U988" i="1" s="1"/>
  <c r="T989" i="1"/>
  <c r="U989" i="1" s="1"/>
  <c r="T990" i="1"/>
  <c r="U990" i="1" s="1"/>
  <c r="T991" i="1"/>
  <c r="U991" i="1" s="1"/>
  <c r="T992" i="1"/>
  <c r="U992" i="1" s="1"/>
  <c r="T993" i="1"/>
  <c r="U993" i="1" s="1"/>
  <c r="T994" i="1"/>
  <c r="U994" i="1" s="1"/>
  <c r="T995" i="1"/>
  <c r="U995" i="1" s="1"/>
  <c r="T996" i="1"/>
  <c r="U996" i="1" s="1"/>
  <c r="T997" i="1"/>
  <c r="U997" i="1" s="1"/>
  <c r="T998" i="1"/>
  <c r="U998" i="1" s="1"/>
  <c r="T999" i="1"/>
  <c r="U999" i="1" s="1"/>
  <c r="T1000" i="1"/>
  <c r="U1000" i="1" s="1"/>
  <c r="T1001" i="1"/>
  <c r="U1001" i="1" s="1"/>
  <c r="T1002" i="1"/>
  <c r="U1002" i="1" s="1"/>
  <c r="T1003" i="1"/>
  <c r="U1003" i="1" s="1"/>
  <c r="T1004" i="1"/>
  <c r="U1004" i="1" s="1"/>
  <c r="T1005" i="1"/>
  <c r="U1005" i="1" s="1"/>
  <c r="T1006" i="1"/>
  <c r="U1006" i="1" s="1"/>
  <c r="T1007" i="1"/>
  <c r="U1007" i="1" s="1"/>
  <c r="T1008" i="1"/>
  <c r="U1008" i="1" s="1"/>
  <c r="T1009" i="1"/>
  <c r="U1009" i="1" s="1"/>
  <c r="T1010" i="1"/>
  <c r="U1010" i="1" s="1"/>
  <c r="T1011" i="1"/>
  <c r="U1011" i="1" s="1"/>
  <c r="T1012" i="1"/>
  <c r="U1012" i="1" s="1"/>
  <c r="T1013" i="1"/>
  <c r="U1013" i="1" s="1"/>
  <c r="T1014" i="1"/>
  <c r="U1014" i="1" s="1"/>
  <c r="T1015" i="1"/>
  <c r="U1015" i="1" s="1"/>
  <c r="T1016" i="1"/>
  <c r="U1016" i="1" s="1"/>
  <c r="T1017" i="1"/>
  <c r="U1017" i="1" s="1"/>
  <c r="T1018" i="1"/>
  <c r="U1018" i="1" s="1"/>
  <c r="T1019" i="1"/>
  <c r="U1019" i="1" s="1"/>
  <c r="T1020" i="1"/>
  <c r="U1020" i="1" s="1"/>
  <c r="T1021" i="1"/>
  <c r="U1021" i="1" s="1"/>
  <c r="T1022" i="1"/>
  <c r="U1022" i="1" s="1"/>
  <c r="T1023" i="1"/>
  <c r="U1023" i="1" s="1"/>
  <c r="T1024" i="1"/>
  <c r="U1024" i="1" s="1"/>
  <c r="T1025" i="1"/>
  <c r="U1025" i="1" s="1"/>
  <c r="T1026" i="1"/>
  <c r="U1026" i="1" s="1"/>
  <c r="T1027" i="1"/>
  <c r="U1027" i="1" s="1"/>
  <c r="T1028" i="1"/>
  <c r="U1028" i="1" s="1"/>
  <c r="T1029" i="1"/>
  <c r="U1029" i="1" s="1"/>
  <c r="T1030" i="1"/>
  <c r="U1030" i="1" s="1"/>
  <c r="T1031" i="1"/>
  <c r="U1031" i="1" s="1"/>
  <c r="T1032" i="1"/>
  <c r="U1032" i="1" s="1"/>
  <c r="T1033" i="1"/>
  <c r="U1033" i="1" s="1"/>
  <c r="T1034" i="1"/>
  <c r="U1034" i="1" s="1"/>
  <c r="T1035" i="1"/>
  <c r="U1035" i="1" s="1"/>
  <c r="T1036" i="1"/>
  <c r="U1036" i="1" s="1"/>
  <c r="T1037" i="1"/>
  <c r="U1037" i="1" s="1"/>
  <c r="T1038" i="1"/>
  <c r="U1038" i="1" s="1"/>
  <c r="T1039" i="1"/>
  <c r="U1039" i="1" s="1"/>
  <c r="T1040" i="1"/>
  <c r="U1040" i="1" s="1"/>
  <c r="T1041" i="1"/>
  <c r="U1041" i="1" s="1"/>
  <c r="T1042" i="1"/>
  <c r="U1042" i="1" s="1"/>
  <c r="T1043" i="1"/>
  <c r="U1043" i="1" s="1"/>
  <c r="T1044" i="1"/>
  <c r="U1044" i="1" s="1"/>
  <c r="T1045" i="1"/>
  <c r="U1045" i="1" s="1"/>
  <c r="T1046" i="1"/>
  <c r="U1046" i="1" s="1"/>
  <c r="T1047" i="1"/>
  <c r="U1047" i="1" s="1"/>
  <c r="T1048" i="1"/>
  <c r="U1048" i="1" s="1"/>
  <c r="T1049" i="1"/>
  <c r="U1049" i="1" s="1"/>
  <c r="T1050" i="1"/>
  <c r="U1050" i="1" s="1"/>
  <c r="T1051" i="1"/>
  <c r="U1051" i="1" s="1"/>
  <c r="T1052" i="1"/>
  <c r="U1052" i="1" s="1"/>
  <c r="T1053" i="1"/>
  <c r="U1053" i="1" s="1"/>
  <c r="T1054" i="1"/>
  <c r="U1054" i="1" s="1"/>
  <c r="T1055" i="1"/>
  <c r="U1055" i="1" s="1"/>
  <c r="T1056" i="1"/>
  <c r="U1056" i="1" s="1"/>
  <c r="T1057" i="1"/>
  <c r="U1057" i="1" s="1"/>
  <c r="T1058" i="1"/>
  <c r="U1058" i="1" s="1"/>
  <c r="T1059" i="1"/>
  <c r="U1059" i="1" s="1"/>
  <c r="T1060" i="1"/>
  <c r="U1060" i="1" s="1"/>
  <c r="T1061" i="1"/>
  <c r="U1061" i="1" s="1"/>
  <c r="T1062" i="1"/>
  <c r="U1062" i="1" s="1"/>
  <c r="T1063" i="1"/>
  <c r="U1063" i="1" s="1"/>
  <c r="T1064" i="1"/>
  <c r="U1064" i="1" s="1"/>
  <c r="T1065" i="1"/>
  <c r="U1065" i="1" s="1"/>
  <c r="T1066" i="1"/>
  <c r="U1066" i="1" s="1"/>
  <c r="T1067" i="1"/>
  <c r="U1067" i="1" s="1"/>
  <c r="T1068" i="1"/>
  <c r="U1068" i="1" s="1"/>
  <c r="T1069" i="1"/>
  <c r="U1069" i="1" s="1"/>
  <c r="T1070" i="1"/>
  <c r="U1070" i="1" s="1"/>
  <c r="T1071" i="1"/>
  <c r="U1071" i="1" s="1"/>
  <c r="T1072" i="1"/>
  <c r="U1072" i="1" s="1"/>
  <c r="T1073" i="1"/>
  <c r="U1073" i="1" s="1"/>
  <c r="T1074" i="1"/>
  <c r="U1074" i="1" s="1"/>
  <c r="T1075" i="1"/>
  <c r="U1075" i="1" s="1"/>
  <c r="T1076" i="1"/>
  <c r="U1076" i="1" s="1"/>
  <c r="T1077" i="1"/>
  <c r="U1077" i="1" s="1"/>
  <c r="T1078" i="1"/>
  <c r="U1078" i="1" s="1"/>
  <c r="T1079" i="1"/>
  <c r="U1079" i="1" s="1"/>
  <c r="T1080" i="1"/>
  <c r="U1080" i="1" s="1"/>
  <c r="T1081" i="1"/>
  <c r="U1081" i="1" s="1"/>
  <c r="T1082" i="1"/>
  <c r="U1082" i="1" s="1"/>
  <c r="T1083" i="1"/>
  <c r="U1083" i="1" s="1"/>
  <c r="T1084" i="1"/>
  <c r="U1084" i="1" s="1"/>
  <c r="T1085" i="1"/>
  <c r="U1085" i="1" s="1"/>
  <c r="T1086" i="1"/>
  <c r="U1086" i="1" s="1"/>
  <c r="T1087" i="1"/>
  <c r="U1087" i="1" s="1"/>
  <c r="T1088" i="1"/>
  <c r="U1088" i="1" s="1"/>
  <c r="T1089" i="1"/>
  <c r="U1089" i="1" s="1"/>
  <c r="T1090" i="1"/>
  <c r="U1090" i="1" s="1"/>
  <c r="T1091" i="1"/>
  <c r="U1091" i="1" s="1"/>
  <c r="T1092" i="1"/>
  <c r="U1092" i="1" s="1"/>
  <c r="T1093" i="1"/>
  <c r="U1093" i="1" s="1"/>
  <c r="T1094" i="1"/>
  <c r="U1094" i="1" s="1"/>
  <c r="T1095" i="1"/>
  <c r="U1095" i="1" s="1"/>
  <c r="T1096" i="1"/>
  <c r="U1096" i="1" s="1"/>
  <c r="T1097" i="1"/>
  <c r="U1097" i="1" s="1"/>
  <c r="T1098" i="1"/>
  <c r="U1098" i="1" s="1"/>
  <c r="T1099" i="1"/>
  <c r="U1099" i="1" s="1"/>
  <c r="T1100" i="1"/>
  <c r="U1100" i="1" s="1"/>
  <c r="T1101" i="1"/>
  <c r="U1101" i="1" s="1"/>
  <c r="T1102" i="1"/>
  <c r="U1102" i="1" s="1"/>
  <c r="T1103" i="1"/>
  <c r="U1103" i="1" s="1"/>
  <c r="T1104" i="1"/>
  <c r="U1104" i="1" s="1"/>
  <c r="T1105" i="1"/>
  <c r="U1105" i="1" s="1"/>
  <c r="T1106" i="1"/>
  <c r="U1106" i="1" s="1"/>
  <c r="T1107" i="1"/>
  <c r="U1107" i="1" s="1"/>
  <c r="T1108" i="1"/>
  <c r="U1108" i="1" s="1"/>
  <c r="T1109" i="1"/>
  <c r="U1109" i="1" s="1"/>
  <c r="T1110" i="1"/>
  <c r="U1110" i="1" s="1"/>
  <c r="T1111" i="1"/>
  <c r="U1111" i="1" s="1"/>
  <c r="T1112" i="1"/>
  <c r="U1112" i="1" s="1"/>
  <c r="T1113" i="1"/>
  <c r="U1113" i="1" s="1"/>
  <c r="T1114" i="1"/>
  <c r="U1114" i="1" s="1"/>
  <c r="T1115" i="1"/>
  <c r="U1115" i="1" s="1"/>
  <c r="T1116" i="1"/>
  <c r="U1116" i="1" s="1"/>
  <c r="T1117" i="1"/>
  <c r="U1117" i="1" s="1"/>
  <c r="T1118" i="1"/>
  <c r="U1118" i="1" s="1"/>
  <c r="T1119" i="1"/>
  <c r="U1119" i="1" s="1"/>
  <c r="T1120" i="1"/>
  <c r="U1120" i="1" s="1"/>
  <c r="T1121" i="1"/>
  <c r="U1121" i="1" s="1"/>
  <c r="T1122" i="1"/>
  <c r="U1122" i="1" s="1"/>
  <c r="T1123" i="1"/>
  <c r="U1123" i="1" s="1"/>
  <c r="T1124" i="1"/>
  <c r="U1124" i="1" s="1"/>
  <c r="T1125" i="1"/>
  <c r="U1125" i="1" s="1"/>
  <c r="T1126" i="1"/>
  <c r="U1126" i="1" s="1"/>
  <c r="T1127" i="1"/>
  <c r="U1127" i="1" s="1"/>
  <c r="T1128" i="1"/>
  <c r="U1128" i="1" s="1"/>
  <c r="T1129" i="1"/>
  <c r="U1129" i="1" s="1"/>
  <c r="T1130" i="1"/>
  <c r="U1130" i="1" s="1"/>
  <c r="T1131" i="1"/>
  <c r="U1131" i="1" s="1"/>
  <c r="T1132" i="1"/>
  <c r="U1132" i="1" s="1"/>
  <c r="T1133" i="1"/>
  <c r="U1133" i="1" s="1"/>
  <c r="T1134" i="1"/>
  <c r="U1134" i="1" s="1"/>
  <c r="T1135" i="1"/>
  <c r="U1135" i="1" s="1"/>
  <c r="T1136" i="1"/>
  <c r="U1136" i="1" s="1"/>
  <c r="T1137" i="1"/>
  <c r="U1137" i="1" s="1"/>
  <c r="T1138" i="1"/>
  <c r="U1138" i="1" s="1"/>
  <c r="T1139" i="1"/>
  <c r="U1139" i="1" s="1"/>
  <c r="T1140" i="1"/>
  <c r="U1140" i="1" s="1"/>
  <c r="T1141" i="1"/>
  <c r="U1141" i="1" s="1"/>
  <c r="T1142" i="1"/>
  <c r="U1142" i="1" s="1"/>
  <c r="T1143" i="1"/>
  <c r="U1143" i="1" s="1"/>
  <c r="T1144" i="1"/>
  <c r="U1144" i="1" s="1"/>
  <c r="T1145" i="1"/>
  <c r="U1145" i="1" s="1"/>
  <c r="T1146" i="1"/>
  <c r="U1146" i="1" s="1"/>
  <c r="T1147" i="1"/>
  <c r="U1147" i="1" s="1"/>
  <c r="T1148" i="1"/>
  <c r="U1148" i="1" s="1"/>
  <c r="T1149" i="1"/>
  <c r="U1149" i="1" s="1"/>
  <c r="T1150" i="1"/>
  <c r="U1150" i="1" s="1"/>
  <c r="T1151" i="1"/>
  <c r="U1151" i="1" s="1"/>
  <c r="T1152" i="1"/>
  <c r="U1152" i="1" s="1"/>
  <c r="T1153" i="1"/>
  <c r="U1153" i="1" s="1"/>
  <c r="T1154" i="1"/>
  <c r="U1154" i="1" s="1"/>
  <c r="T1155" i="1"/>
  <c r="U1155" i="1" s="1"/>
  <c r="T1156" i="1"/>
  <c r="U1156" i="1" s="1"/>
  <c r="T1157" i="1"/>
  <c r="U1157" i="1" s="1"/>
  <c r="T1158" i="1"/>
  <c r="U1158" i="1" s="1"/>
  <c r="T1159" i="1"/>
  <c r="U1159" i="1" s="1"/>
  <c r="T1160" i="1"/>
  <c r="U1160" i="1" s="1"/>
  <c r="T1161" i="1"/>
  <c r="U1161" i="1" s="1"/>
  <c r="T1162" i="1"/>
  <c r="U1162" i="1" s="1"/>
  <c r="T1163" i="1"/>
  <c r="U1163" i="1" s="1"/>
  <c r="T1164" i="1"/>
  <c r="U1164" i="1" s="1"/>
  <c r="T1165" i="1"/>
  <c r="U1165" i="1" s="1"/>
  <c r="T1166" i="1"/>
  <c r="U1166" i="1" s="1"/>
  <c r="T1167" i="1"/>
  <c r="U1167" i="1" s="1"/>
  <c r="T1168" i="1"/>
  <c r="U1168" i="1" s="1"/>
  <c r="T1169" i="1"/>
  <c r="U1169" i="1" s="1"/>
  <c r="T1170" i="1"/>
  <c r="U1170" i="1" s="1"/>
  <c r="T1171" i="1"/>
  <c r="U1171" i="1" s="1"/>
  <c r="T1172" i="1"/>
  <c r="U1172" i="1" s="1"/>
  <c r="T1173" i="1"/>
  <c r="U1173" i="1" s="1"/>
  <c r="T3" i="1"/>
  <c r="U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MankwongYau</author>
  </authors>
  <commentList>
    <comment ref="B2" authorId="0" shapeId="0" xr:uid="{56FF5A21-AF09-4EFF-9A2E-6DC0D8408963}">
      <text>
        <r>
          <rPr>
            <sz val="9"/>
            <color indexed="81"/>
            <rFont val="Tahoma"/>
            <family val="2"/>
          </rPr>
          <t>(REQUIRED) Identify the product as an accessory (A) or base product (B). An accessory is a standalone product that can be purchased alone or with the base product. Accessories will be associated with their base product on GSA Advantage! If any product is coded as an accessory, the PRODXACC tab is required. Example: an extra set of tires (accessory) can be purchased with a tractor (base).If your catalog contains a combination of products with and without accessories, enter "B" for all products that are standalone.</t>
        </r>
      </text>
    </comment>
    <comment ref="C2" authorId="0" shapeId="0" xr:uid="{F55FB712-636C-48D8-81D3-7BA2A7A698B0}">
      <text>
        <r>
          <rPr>
            <sz val="9"/>
            <color indexed="81"/>
            <rFont val="Tahoma"/>
            <family val="2"/>
          </rPr>
          <t xml:space="preserve">(REQUIRED) Manufacturer name is a  required field for all products. It must be provided in every sheet referencing the same product.
</t>
        </r>
      </text>
    </comment>
    <comment ref="D2" authorId="0" shapeId="0" xr:uid="{2827903C-D338-4CC6-A3EF-E0EA6AD1AC3A}">
      <text>
        <r>
          <rPr>
            <sz val="9"/>
            <color indexed="81"/>
            <rFont val="Tahoma"/>
            <family val="2"/>
          </rPr>
          <t>(REQUIRED) Manufacturer part number is a required field for all products. It must be provided in every sheet referencing the same product.</t>
        </r>
      </text>
    </comment>
    <comment ref="E2" authorId="0" shapeId="0" xr:uid="{A444828F-4E07-43BE-894D-2FF5537B4669}">
      <text>
        <r>
          <rPr>
            <sz val="9"/>
            <color indexed="81"/>
            <rFont val="Tahoma"/>
            <family val="2"/>
          </rPr>
          <t>Vendor part number, for use by the seller to track part numbers. (Optional)</t>
        </r>
      </text>
    </comment>
    <comment ref="F2" authorId="0" shapeId="0" xr:uid="{A142956B-2768-42B6-AF7E-EB1A717380B1}">
      <text>
        <r>
          <rPr>
            <sz val="9"/>
            <color indexed="81"/>
            <rFont val="Tahoma"/>
            <family val="2"/>
          </rPr>
          <t xml:space="preserve">(REQUIRED) </t>
        </r>
      </text>
    </comment>
    <comment ref="G2" authorId="0" shapeId="0" xr:uid="{CCFC3FDF-8C6C-4F4F-B25E-88F9A5D40564}">
      <text>
        <r>
          <rPr>
            <sz val="9"/>
            <color indexed="81"/>
            <rFont val="Tahoma"/>
            <family val="2"/>
          </rPr>
          <t xml:space="preserve">(REQUIRED) 
</t>
        </r>
      </text>
    </comment>
    <comment ref="H2" authorId="0" shapeId="0" xr:uid="{D2500B90-6CDB-4119-90B2-01369EFC544D}">
      <text>
        <r>
          <rPr>
            <sz val="9"/>
            <color indexed="81"/>
            <rFont val="Tahoma"/>
            <family val="2"/>
          </rPr>
          <t>(REQUIRED) A description of the product. The description can be up to 1,000 characters long.</t>
        </r>
      </text>
    </comment>
    <comment ref="I2" authorId="0" shapeId="0" xr:uid="{E5613EAC-6782-4B43-82FC-C6B6C279F3C2}">
      <text>
        <r>
          <rPr>
            <sz val="9"/>
            <color indexed="81"/>
            <rFont val="Tahoma"/>
            <family val="2"/>
          </rPr>
          <t>Recycled and/or post consumer material content percentage. (Optional, but required for copy paper offering)</t>
        </r>
        <r>
          <rPr>
            <b/>
            <sz val="9"/>
            <color indexed="81"/>
            <rFont val="Tahoma"/>
            <family val="2"/>
          </rPr>
          <t xml:space="preserve"> Express this value in decimal format only.</t>
        </r>
        <r>
          <rPr>
            <sz val="9"/>
            <color indexed="81"/>
            <rFont val="Tahoma"/>
            <family val="2"/>
          </rPr>
          <t xml:space="preserve"> (i.e 3%, enter 0.03; 50%, enter 0.5)</t>
        </r>
      </text>
    </comment>
    <comment ref="J2" authorId="0" shapeId="0" xr:uid="{AEE70054-BF27-4470-ADBE-B597F4DFC242}">
      <text>
        <r>
          <rPr>
            <sz val="9"/>
            <color indexed="81"/>
            <rFont val="Tahoma"/>
            <family val="2"/>
          </rPr>
          <t xml:space="preserve">(REQUIRED) </t>
        </r>
      </text>
    </comment>
    <comment ref="K2" authorId="0" shapeId="0" xr:uid="{65A31ACB-4420-4D20-BA98-D0E17E718CCD}">
      <text>
        <r>
          <rPr>
            <sz val="9"/>
            <color indexed="81"/>
            <rFont val="Tahoma"/>
            <family val="2"/>
          </rPr>
          <t xml:space="preserve">Quantity Per Pack, if the product is packed in quantities. Enter numeric value here.  If your productis sold in set increments, use this section to identfiy how many are included.  (ex. If your product is only sold in box of 4, list the UOM as "BX", quantity_per_pack as "4" and quantity_unit_uom as "EA". It will be displayed on GSA Advantage as "BX 4 EA"). The quantity_unit_uom must also be provided when an entry is made here. </t>
        </r>
      </text>
    </comment>
    <comment ref="L2" authorId="0" shapeId="0" xr:uid="{E3CD0BCE-0F5B-45C2-9506-314CABC28297}">
      <text>
        <r>
          <rPr>
            <sz val="9"/>
            <color indexed="81"/>
            <rFont val="Tahoma"/>
            <family val="2"/>
          </rPr>
          <t>Quantity Per UOM is the unit of measure of the product that is packed in quantities.  If your product is sold in box increments, use this section to identify how many are included.  (ex. If your product is only sold in box of 4, list the UOM as "BX", quantity_per_pack as "4" and quantity_unit_uom as "EA". It will be displayed on GSA Advantage as "BX 4 EA".) The quantity_per_pack must also be provided when an entry is made here.</t>
        </r>
      </text>
    </comment>
    <comment ref="M2" authorId="0" shapeId="0" xr:uid="{F39D0292-AAB3-45AA-B522-86895077B2FA}">
      <text>
        <r>
          <rPr>
            <sz val="9"/>
            <color indexed="81"/>
            <rFont val="Tahoma"/>
            <family val="2"/>
          </rPr>
          <t>(REQUIRED) Commercial Price / Manufacturer's Suggested Retail Price. This information is not published on GSA Advantage.</t>
        </r>
      </text>
    </comment>
    <comment ref="N2" authorId="0" shapeId="0" xr:uid="{4684480A-6E46-45C0-BD33-4C458EB1B902}">
      <text>
        <r>
          <rPr>
            <sz val="9"/>
            <color indexed="81"/>
            <rFont val="Tahoma"/>
            <family val="2"/>
          </rPr>
          <t xml:space="preserve">Must be provided for non-TDR contracts. Most Favored Customer refers to the customer or category of customer that receives the most favorable pricing. The name of the customer of the category of customers goes in this column. </t>
        </r>
      </text>
    </comment>
    <comment ref="O2" authorId="0" shapeId="0" xr:uid="{60F256DD-8353-4E93-9E0A-C5E8BC258DB2}">
      <text>
        <r>
          <rPr>
            <sz val="9"/>
            <color indexed="81"/>
            <rFont val="Tahoma"/>
            <family val="2"/>
          </rPr>
          <t>Must be provided for non-TDR contracts. This is the price offered to the Most Favored Customer with the MFC discount.</t>
        </r>
      </text>
    </comment>
    <comment ref="T2" authorId="0" shapeId="0" xr:uid="{7152BB5A-8F25-4AF8-831B-952C1592C599}">
      <text>
        <r>
          <rPr>
            <sz val="9"/>
            <color indexed="81"/>
            <rFont val="Tahoma"/>
            <family val="2"/>
          </rPr>
          <t>(REQUIRED) This is the price offered to the government that does not include the 0.75% Industrial Funding Fee (IFF) and, if applicable, 1.25% Contract Access Fee (CAF).
First-time users submitting a Baseline action can use the following formula to calculated this figure off of the govt_price_with_fee. Inserted the formula in cell O3 in the PRODUCTS tab and dragged down for all products: 
=IF(E3="339940OS4",P3*0.98,P3*0.9925)</t>
        </r>
      </text>
    </comment>
    <comment ref="U2" authorId="0" shapeId="0" xr:uid="{0BA2CE18-76EF-4400-AA6A-04031783FE2C}">
      <text>
        <r>
          <rPr>
            <sz val="9"/>
            <color indexed="81"/>
            <rFont val="Tahoma"/>
            <family val="2"/>
          </rPr>
          <t xml:space="preserve">(REQUIRED) This is the price offered to the government that includes the 0.75% Industrial Funding Fee (IFF) and, if applicable, 1.25% Contract Access Fee (CAF).
Example of </t>
        </r>
        <r>
          <rPr>
            <b/>
            <sz val="9"/>
            <color indexed="81"/>
            <rFont val="Tahoma"/>
            <family val="2"/>
          </rPr>
          <t>Discount Based (IFF only)</t>
        </r>
        <r>
          <rPr>
            <sz val="9"/>
            <color indexed="81"/>
            <rFont val="Tahoma"/>
            <family val="2"/>
          </rPr>
          <t xml:space="preserve">: 
MSRP = $100.00
GSA Discount (govt_price_no_fee): 10%
Discount Price Offered to GSA (govt_price_no_fee): $100*(1-.10) = $90.00
Discount Price Offered to GSA (govt_price_with_fee): $90.00/0.9925 = $90.68      
Example of </t>
        </r>
        <r>
          <rPr>
            <b/>
            <sz val="9"/>
            <color indexed="81"/>
            <rFont val="Tahoma"/>
            <family val="2"/>
          </rPr>
          <t>Discount Based (IFF &amp; CAF)</t>
        </r>
        <r>
          <rPr>
            <sz val="9"/>
            <color indexed="81"/>
            <rFont val="Tahoma"/>
            <family val="2"/>
          </rPr>
          <t xml:space="preserve">: 
MSRP = $100.00
GSA Discount (govt_price_no_fee): 10%
Discount Price Offered to GSA (govt_price_no_fee): $100*(1-.10) = $90.00
Discount Price Offered to GSA (govt_price_with_fee): $90.00/0.98 = $91.84      
Example of </t>
        </r>
        <r>
          <rPr>
            <b/>
            <sz val="9"/>
            <color indexed="81"/>
            <rFont val="Tahoma"/>
            <family val="2"/>
          </rPr>
          <t>Markup Based</t>
        </r>
        <r>
          <rPr>
            <sz val="9"/>
            <color indexed="81"/>
            <rFont val="Tahoma"/>
            <family val="2"/>
          </rPr>
          <t xml:space="preserve">: 
Dealer Cost: $80.00
Government Markup Percentage (govt_markup_percentage): 10%
Markup Price Offered to GSA (govt_price_no_fee): $80*(1+.10) = $88.00
Markup Price Offered to GSA (govt_price_with_fee): $88.00/0.9925 = $88.66   </t>
        </r>
      </text>
    </comment>
    <comment ref="V2" authorId="0" shapeId="0" xr:uid="{971CAC30-0116-44B2-B915-C3089A68494D}">
      <text>
        <r>
          <rPr>
            <sz val="9"/>
            <color indexed="81"/>
            <rFont val="Tahoma"/>
            <family val="2"/>
          </rPr>
          <t xml:space="preserve">(REQUIRED) Provide the Country of Origin(COO)  for each product being proposed. If your product are sourced from multiple COO, you list additional country codes, separating each with a comma (,). Please note, </t>
        </r>
        <r>
          <rPr>
            <b/>
            <sz val="9"/>
            <color indexed="81"/>
            <rFont val="Tahoma"/>
            <family val="2"/>
          </rPr>
          <t>only the first COO</t>
        </r>
        <r>
          <rPr>
            <sz val="9"/>
            <color indexed="81"/>
            <rFont val="Tahoma"/>
            <family val="2"/>
          </rPr>
          <t xml:space="preserve"> will be displayed on GSA Advantage. </t>
        </r>
      </text>
    </comment>
    <comment ref="W2" authorId="0" shapeId="0" xr:uid="{F9DF2EB5-926A-47CF-BC49-0A6F03F47788}">
      <text>
        <r>
          <rPr>
            <sz val="9"/>
            <color indexed="81"/>
            <rFont val="Tahoma"/>
            <family val="2"/>
          </rPr>
          <t xml:space="preserve">(REQUIRED) Delivery lead time-Provide a numerical value here for the number of days for product delivery. 
</t>
        </r>
      </text>
    </comment>
    <comment ref="X2" authorId="0" shapeId="0" xr:uid="{17ABE960-D048-4AD5-93B0-C6E77CEE3718}">
      <text>
        <r>
          <rPr>
            <sz val="9"/>
            <color indexed="81"/>
            <rFont val="Tahoma"/>
            <family val="2"/>
          </rPr>
          <t xml:space="preserve">(REQUIRED) Lead Time Codes-  
</t>
        </r>
        <r>
          <rPr>
            <b/>
            <sz val="9"/>
            <color indexed="81"/>
            <rFont val="Tahoma"/>
            <family val="2"/>
          </rPr>
          <t>AE</t>
        </r>
        <r>
          <rPr>
            <sz val="9"/>
            <color indexed="81"/>
            <rFont val="Tahoma"/>
            <family val="2"/>
          </rPr>
          <t xml:space="preserve">: From date of PO receipt to shipment
</t>
        </r>
        <r>
          <rPr>
            <b/>
            <sz val="9"/>
            <color indexed="81"/>
            <rFont val="Tahoma"/>
            <family val="2"/>
          </rPr>
          <t>AF</t>
        </r>
        <r>
          <rPr>
            <sz val="9"/>
            <color indexed="81"/>
            <rFont val="Tahoma"/>
            <family val="2"/>
          </rPr>
          <t xml:space="preserve">: From date of PO receipt to delivery
</t>
        </r>
        <r>
          <rPr>
            <b/>
            <sz val="9"/>
            <color indexed="81"/>
            <rFont val="Tahoma"/>
            <family val="2"/>
          </rPr>
          <t>AX</t>
        </r>
        <r>
          <rPr>
            <sz val="9"/>
            <color indexed="81"/>
            <rFont val="Tahoma"/>
            <family val="2"/>
          </rPr>
          <t xml:space="preserve">: From Date of Award to Date of Completion (services only)
</t>
        </r>
        <r>
          <rPr>
            <b/>
            <sz val="9"/>
            <color indexed="81"/>
            <rFont val="Tahoma"/>
            <family val="2"/>
          </rPr>
          <t>AY</t>
        </r>
        <r>
          <rPr>
            <sz val="9"/>
            <color indexed="81"/>
            <rFont val="Tahoma"/>
            <family val="2"/>
          </rPr>
          <t>: From Date of Award to Date of Delivery</t>
        </r>
      </text>
    </comment>
    <comment ref="Y2" authorId="0" shapeId="0" xr:uid="{F1A7A8E6-48C5-488F-BD5F-ED8A5B0C5476}">
      <text>
        <r>
          <rPr>
            <sz val="9"/>
            <color indexed="81"/>
            <rFont val="Tahoma"/>
            <family val="2"/>
          </rPr>
          <t xml:space="preserve">(REQUIRED) Freight on Board-48 Contiguous US States and DC (CONUS): </t>
        </r>
        <r>
          <rPr>
            <b/>
            <sz val="9"/>
            <color indexed="81"/>
            <rFont val="Tahoma"/>
            <family val="2"/>
          </rPr>
          <t>D</t>
        </r>
        <r>
          <rPr>
            <sz val="9"/>
            <color indexed="81"/>
            <rFont val="Tahoma"/>
            <family val="2"/>
          </rPr>
          <t xml:space="preserve">-Destination or </t>
        </r>
        <r>
          <rPr>
            <b/>
            <sz val="9"/>
            <color indexed="81"/>
            <rFont val="Tahoma"/>
            <family val="2"/>
          </rPr>
          <t>O</t>
        </r>
        <r>
          <rPr>
            <sz val="9"/>
            <color indexed="81"/>
            <rFont val="Tahoma"/>
            <family val="2"/>
          </rPr>
          <t xml:space="preserve">-Origin. At minimum, delivery to CONUS locations is required. </t>
        </r>
      </text>
    </comment>
    <comment ref="Z2" authorId="0" shapeId="0" xr:uid="{3AA68DFC-58C5-40A4-B57A-33DFD126EDB9}">
      <text>
        <r>
          <rPr>
            <sz val="9"/>
            <color indexed="81"/>
            <rFont val="Tahoma"/>
            <family val="2"/>
          </rPr>
          <t>(REQUIRED) Freight on Board-Alaska: D-Destination, O-Origin, or N-No Delivery.</t>
        </r>
      </text>
    </comment>
    <comment ref="AA2" authorId="0" shapeId="0" xr:uid="{83D1321D-4722-4DB4-B387-BD4CE28F14BD}">
      <text>
        <r>
          <rPr>
            <sz val="9"/>
            <color indexed="81"/>
            <rFont val="Tahoma"/>
            <family val="2"/>
          </rPr>
          <t>(REQUIRED) Freight on Board-Hawaii D-Destination, O-Origin, or N-No Delivery.</t>
        </r>
      </text>
    </comment>
    <comment ref="AB2" authorId="0" shapeId="0" xr:uid="{43BC5EB3-4D9A-4962-AF58-9CDC7A9C27F7}">
      <text>
        <r>
          <rPr>
            <sz val="9"/>
            <color indexed="81"/>
            <rFont val="Tahoma"/>
            <family val="2"/>
          </rPr>
          <t xml:space="preserve">(REQUIRED) Freight on Board-Puerto Rico: </t>
        </r>
        <r>
          <rPr>
            <b/>
            <sz val="9"/>
            <color indexed="81"/>
            <rFont val="Tahoma"/>
            <family val="2"/>
          </rPr>
          <t>D</t>
        </r>
        <r>
          <rPr>
            <sz val="9"/>
            <color indexed="81"/>
            <rFont val="Tahoma"/>
            <family val="2"/>
          </rPr>
          <t xml:space="preserve">-Destination, </t>
        </r>
        <r>
          <rPr>
            <b/>
            <sz val="9"/>
            <color indexed="81"/>
            <rFont val="Tahoma"/>
            <family val="2"/>
          </rPr>
          <t>O</t>
        </r>
        <r>
          <rPr>
            <sz val="9"/>
            <color indexed="81"/>
            <rFont val="Tahoma"/>
            <family val="2"/>
          </rPr>
          <t xml:space="preserve">-Origin, or </t>
        </r>
        <r>
          <rPr>
            <b/>
            <sz val="9"/>
            <color indexed="81"/>
            <rFont val="Tahoma"/>
            <family val="2"/>
          </rPr>
          <t>N</t>
        </r>
        <r>
          <rPr>
            <sz val="9"/>
            <color indexed="81"/>
            <rFont val="Tahoma"/>
            <family val="2"/>
          </rPr>
          <t>-No Delivery.</t>
        </r>
      </text>
    </comment>
    <comment ref="AD2" authorId="0" shapeId="0" xr:uid="{3934409E-CFC7-442F-8C8A-EC7CE67B0052}">
      <text>
        <r>
          <rPr>
            <sz val="9"/>
            <color indexed="81"/>
            <rFont val="Tahoma"/>
            <family val="2"/>
          </rPr>
          <t>Universal Product Code. This code must be 8-14 digits in length.</t>
        </r>
      </text>
    </comment>
    <comment ref="AE2" authorId="0" shapeId="0" xr:uid="{A8578906-3961-4446-A7B6-78E714A56D66}">
      <text>
        <r>
          <rPr>
            <sz val="9"/>
            <color indexed="81"/>
            <rFont val="Tahoma"/>
            <family val="2"/>
          </rPr>
          <t>UNSPSC</t>
        </r>
        <r>
          <rPr>
            <b/>
            <sz val="9"/>
            <color indexed="81"/>
            <rFont val="Tahoma"/>
            <family val="2"/>
          </rPr>
          <t xml:space="preserve"> </t>
        </r>
        <r>
          <rPr>
            <sz val="9"/>
            <color indexed="81"/>
            <rFont val="Tahoma"/>
            <family val="2"/>
          </rPr>
          <t>must be 8 digits in length and cannot begin with a zero (0).</t>
        </r>
      </text>
    </comment>
    <comment ref="AF2" authorId="0" shapeId="0" xr:uid="{C1F61310-E71E-411E-B3ED-FA83BD8FBDA5}">
      <text>
        <r>
          <rPr>
            <b/>
            <sz val="9"/>
            <color indexed="81"/>
            <rFont val="Tahoma"/>
            <family val="2"/>
          </rPr>
          <t>ONLY</t>
        </r>
        <r>
          <rPr>
            <sz val="9"/>
            <color indexed="81"/>
            <rFont val="Tahoma"/>
            <family val="2"/>
          </rPr>
          <t xml:space="preserve"> provide information in this section if you are performing a Temporary Price Reduction (TPR) catalog action. Information submitted in this section will be ignored for all other types of catalog actions (i.e. Add, Change, etc) Provide the sale price with the 0.75% Industrial Funding Fee (IFF) and/or 1.25% Contract Access Fee (CAF). This price must be less than the govt_price_with_fee. If you want to end an active TPR, only provide the item_type, manufacturer, and manfacturer_part_number, and leave the sale_price_with_fee, start_date and stop_date empty. </t>
        </r>
      </text>
    </comment>
    <comment ref="AG2" authorId="0" shapeId="0" xr:uid="{2CF3AE2B-2338-4F34-B4D0-A2C8100986EF}">
      <text>
        <r>
          <rPr>
            <sz val="9"/>
            <color indexed="81"/>
            <rFont val="Tahoma"/>
            <family val="2"/>
          </rPr>
          <t>If providing temporary price reductions, indicate the start date for the temporary pricing.</t>
        </r>
      </text>
    </comment>
    <comment ref="AH2" authorId="0" shapeId="0" xr:uid="{7AD354A7-2DD6-48CC-BCE2-64D3F975BC34}">
      <text>
        <r>
          <rPr>
            <sz val="9"/>
            <color indexed="81"/>
            <rFont val="Tahoma"/>
            <family val="2"/>
          </rPr>
          <t xml:space="preserve">If providing temporary price reductions, indicate the stop date for the temporary pricing. This must be a date in the future and must be later than the start_date. </t>
        </r>
      </text>
    </comment>
    <comment ref="AI2" authorId="0" shapeId="0" xr:uid="{1D923466-1388-4758-A05A-C0FB473EC679}">
      <text>
        <r>
          <rPr>
            <sz val="9"/>
            <color indexed="81"/>
            <rFont val="Tahoma"/>
            <family val="2"/>
          </rPr>
          <t>Provide the file name of the image uploaded. This photo will be the default photo on GSA Advantage. If you have more than 1 photo, identify those file names under photo_2, photo_3, and photo_4.  Up to 4 photos are allowed per product. Supported photo formats: .jpeg | .jpg | .gif and file names can only contain 1 dot (.).
Required for certain SINs. Visit the following website to determine if the SIN on your contract requires this information: https://vsc.gsa.gov/vsc/app-lookup-tables#sinMolPhotoUpc</t>
        </r>
      </text>
    </comment>
    <comment ref="AM2" authorId="0" shapeId="0" xr:uid="{128BB53C-8F7C-4A3A-B193-B15B640055E3}">
      <text>
        <r>
          <rPr>
            <sz val="9"/>
            <color indexed="81"/>
            <rFont val="Tahoma"/>
            <family val="2"/>
          </rPr>
          <t xml:space="preserve">Provide the web address where additional product information can be found.
</t>
        </r>
      </text>
    </comment>
    <comment ref="AN2" authorId="0" shapeId="0" xr:uid="{300E568D-9CAE-4CB5-AB5B-B3515F2FCAA8}">
      <text>
        <r>
          <rPr>
            <sz val="9"/>
            <color indexed="81"/>
            <rFont val="Tahoma"/>
            <family val="2"/>
          </rPr>
          <t xml:space="preserve">Duration of Warranty. Must be included when warranty_unit_of_time is provided. Provide a numeric value in this column.
</t>
        </r>
      </text>
    </comment>
    <comment ref="AO2" authorId="0" shapeId="0" xr:uid="{6324612D-A80F-4C6A-A11A-C6D9955884A0}">
      <text>
        <r>
          <rPr>
            <sz val="9"/>
            <color indexed="81"/>
            <rFont val="Tahoma"/>
            <family val="2"/>
          </rPr>
          <t xml:space="preserve">Warranty unit of time:
</t>
        </r>
        <r>
          <rPr>
            <b/>
            <sz val="9"/>
            <color indexed="81"/>
            <rFont val="Tahoma"/>
            <family val="2"/>
          </rPr>
          <t>DA</t>
        </r>
        <r>
          <rPr>
            <sz val="9"/>
            <color indexed="81"/>
            <rFont val="Tahoma"/>
            <family val="2"/>
          </rPr>
          <t xml:space="preserve">: Calendar Days
</t>
        </r>
        <r>
          <rPr>
            <b/>
            <sz val="9"/>
            <color indexed="81"/>
            <rFont val="Tahoma"/>
            <family val="2"/>
          </rPr>
          <t>DW</t>
        </r>
        <r>
          <rPr>
            <sz val="9"/>
            <color indexed="81"/>
            <rFont val="Tahoma"/>
            <family val="2"/>
          </rPr>
          <t xml:space="preserve">: Work Days
</t>
        </r>
        <r>
          <rPr>
            <b/>
            <sz val="9"/>
            <color indexed="81"/>
            <rFont val="Tahoma"/>
            <family val="2"/>
          </rPr>
          <t>MO</t>
        </r>
        <r>
          <rPr>
            <sz val="9"/>
            <color indexed="81"/>
            <rFont val="Tahoma"/>
            <family val="2"/>
          </rPr>
          <t xml:space="preserve">: Months
</t>
        </r>
        <r>
          <rPr>
            <b/>
            <sz val="9"/>
            <color indexed="81"/>
            <rFont val="Tahoma"/>
            <family val="2"/>
          </rPr>
          <t>WK</t>
        </r>
        <r>
          <rPr>
            <sz val="9"/>
            <color indexed="81"/>
            <rFont val="Tahoma"/>
            <family val="2"/>
          </rPr>
          <t>: Weeks</t>
        </r>
      </text>
    </comment>
    <comment ref="AP2" authorId="0" shapeId="0" xr:uid="{AA425EAE-C8A3-49C9-8E3C-EA9BEFF73C33}">
      <text>
        <r>
          <rPr>
            <sz val="9"/>
            <color indexed="81"/>
            <rFont val="Tahoma"/>
            <family val="2"/>
          </rPr>
          <t>Physical Length. Must be provided when another Shipping Container Dimension is provided.</t>
        </r>
      </text>
    </comment>
    <comment ref="AQ2" authorId="0" shapeId="0" xr:uid="{43562CFE-C5BE-4A8E-8A5C-3628751D658E}">
      <text>
        <r>
          <rPr>
            <sz val="9"/>
            <color indexed="81"/>
            <rFont val="Tahoma"/>
            <family val="2"/>
          </rPr>
          <t>Physical Width. Must be provided when another Shipping Container Dimension is provided.</t>
        </r>
      </text>
    </comment>
    <comment ref="AR2" authorId="0" shapeId="0" xr:uid="{904F741A-5397-4639-9006-5456FC56C0F2}">
      <text>
        <r>
          <rPr>
            <sz val="9"/>
            <color indexed="81"/>
            <rFont val="Tahoma"/>
            <family val="2"/>
          </rPr>
          <t>Physical Height. Must be provided when another Shipping Container Dimension is provided.</t>
        </r>
      </text>
    </comment>
    <comment ref="AS2" authorId="0" shapeId="0" xr:uid="{5AC11C37-35BF-4460-900F-02C2DA2DB5FF}">
      <text>
        <r>
          <rPr>
            <sz val="9"/>
            <color indexed="81"/>
            <rFont val="Tahoma"/>
            <family val="2"/>
          </rPr>
          <t>Unit of measure for shipping package (feet, inches, cm, etc.)  Must be provided when another Shipping Container Dimension is provided.</t>
        </r>
      </text>
    </comment>
    <comment ref="AT2" authorId="0" shapeId="0" xr:uid="{932F7989-4BCC-4392-93C4-321C26F260F6}">
      <text>
        <r>
          <rPr>
            <sz val="9"/>
            <color indexed="81"/>
            <rFont val="Tahoma"/>
            <family val="2"/>
          </rPr>
          <t>Weight in pounds of product. Must be provided when another Shipping Container Dimension is provided.</t>
        </r>
      </text>
    </comment>
    <comment ref="AU2" authorId="0" shapeId="0" xr:uid="{1A4E63E5-C1B7-48C9-842F-57EBAE6BC9ED}">
      <text>
        <r>
          <rPr>
            <sz val="9"/>
            <color indexed="81"/>
            <rFont val="Tahoma"/>
            <family val="2"/>
          </rPr>
          <t>Product Information Code: List the code(s) that is applicable to this product. If multiple codes apply to this product, separate each code with a comma ",".</t>
        </r>
      </text>
    </comment>
    <comment ref="AV2" authorId="0" shapeId="0" xr:uid="{ED8E5362-9BDE-4FA3-86EA-21BD05A77E63}">
      <text>
        <r>
          <rPr>
            <sz val="9"/>
            <color indexed="81"/>
            <rFont val="Tahoma"/>
            <family val="2"/>
          </rPr>
          <t>URL for 508 information, as applicable</t>
        </r>
      </text>
    </comment>
    <comment ref="AW2" authorId="0" shapeId="0" xr:uid="{7A04C5B1-994C-4720-9C53-B2FE62837EA9}">
      <text>
        <r>
          <rPr>
            <sz val="9"/>
            <color indexed="81"/>
            <rFont val="Tahoma"/>
            <family val="2"/>
          </rPr>
          <t>Product hazmat information. This a United Nations Identification number (UNID).  It will start with UN, NA or MSDS.</t>
        </r>
      </text>
    </comment>
    <comment ref="AX2" authorId="0" shapeId="0" xr:uid="{26D267B7-A0CC-429A-882E-BB5B84CD88E0}">
      <text>
        <r>
          <rPr>
            <sz val="9"/>
            <color indexed="81"/>
            <rFont val="Tahoma"/>
            <family val="2"/>
          </rPr>
          <t>Only applies if proposed pricing is markup based. This is allowed under specific SINs. Verify this is allowed for your offering. This is the dealer cost for the product.</t>
        </r>
      </text>
    </comment>
    <comment ref="AY2" authorId="0" shapeId="0" xr:uid="{17DE98BA-3E5C-423F-9A87-B18533F236DC}">
      <text>
        <r>
          <rPr>
            <sz val="9"/>
            <color indexed="81"/>
            <rFont val="Tahoma"/>
            <family val="2"/>
          </rPr>
          <t>Only applies if proposed pricing is markup based. When compared to the dealer cost, this is the markup (in percentage points) given to the Most Favored Customer. Express this value in decimal format only with a maximum of 4 decimal points. (i.e 3.25%, enter 0.0325; 150%, enter 1.5)</t>
        </r>
      </text>
    </comment>
    <comment ref="AZ2" authorId="0" shapeId="0" xr:uid="{8F3EE3E5-015C-494B-AD24-58398A3FDF69}">
      <text>
        <r>
          <rPr>
            <sz val="9"/>
            <color indexed="81"/>
            <rFont val="Tahoma"/>
            <family val="2"/>
          </rPr>
          <t>Only applies if proposed pricing is markup based. This is the markup given to GSA from the dealer cost that does not include the 0.75% Industrial Funding Fee (IFF). Express this value in decimal format only with a maximum of 4 decimal points. (i.e 3.25%, enter 0.0325; 150%, enter 1.5)</t>
        </r>
      </text>
    </comment>
  </commentList>
</comments>
</file>

<file path=xl/sharedStrings.xml><?xml version="1.0" encoding="utf-8"?>
<sst xmlns="http://schemas.openxmlformats.org/spreadsheetml/2006/main" count="12954" uniqueCount="3563">
  <si>
    <t>Base Product or Accessory</t>
  </si>
  <si>
    <t>Manufacturer Information</t>
  </si>
  <si>
    <t>Vendor Part Number</t>
  </si>
  <si>
    <t>Special Item Number</t>
  </si>
  <si>
    <t>Product Information</t>
  </si>
  <si>
    <t>Unit of Measure</t>
  </si>
  <si>
    <t>Quantity Per Pack</t>
  </si>
  <si>
    <t>Commercial Price / 
Manufacturer's Suggested Retail Price</t>
  </si>
  <si>
    <t>Most Favored Customer</t>
  </si>
  <si>
    <t>Price Proposal</t>
  </si>
  <si>
    <t>Country of Origin</t>
  </si>
  <si>
    <t>Delivery Information</t>
  </si>
  <si>
    <t>National Stock Number</t>
  </si>
  <si>
    <t>UPC</t>
  </si>
  <si>
    <t>United Nations Standard Products and Services Code</t>
  </si>
  <si>
    <t>Temporary Price Reduction (TPR)</t>
  </si>
  <si>
    <t>Photo File References</t>
  </si>
  <si>
    <t>Warranty Duration</t>
  </si>
  <si>
    <t>Product Dimensions</t>
  </si>
  <si>
    <t>Product Information / Categorization</t>
  </si>
  <si>
    <t>Dealer Markup</t>
  </si>
  <si>
    <t>item_type</t>
  </si>
  <si>
    <t>manufacturer</t>
  </si>
  <si>
    <t>manufacturer_part_number</t>
  </si>
  <si>
    <t>vendor_part_number</t>
  </si>
  <si>
    <t>sin</t>
  </si>
  <si>
    <t>item_name</t>
  </si>
  <si>
    <t>item_description</t>
  </si>
  <si>
    <t>recycled_content_percent</t>
  </si>
  <si>
    <t>uom</t>
  </si>
  <si>
    <t>quantity_per_pack</t>
  </si>
  <si>
    <t>quantity_unit_uom</t>
  </si>
  <si>
    <t>commercial_price</t>
  </si>
  <si>
    <t>mfc_name</t>
  </si>
  <si>
    <t>mfc_price</t>
  </si>
  <si>
    <t>Action</t>
  </si>
  <si>
    <t>Sup Cost</t>
  </si>
  <si>
    <t>GM</t>
  </si>
  <si>
    <t>govt_price_no_fee</t>
  </si>
  <si>
    <t>govt_price_with_fee</t>
  </si>
  <si>
    <t>country_of_origin</t>
  </si>
  <si>
    <t>delivery_days</t>
  </si>
  <si>
    <t>lead_time_code</t>
  </si>
  <si>
    <t>fob_us</t>
  </si>
  <si>
    <t>fob_ak</t>
  </si>
  <si>
    <t>fob_hi</t>
  </si>
  <si>
    <t>fob_pr</t>
  </si>
  <si>
    <t>nsn</t>
  </si>
  <si>
    <t>upc</t>
  </si>
  <si>
    <t>unspsc</t>
  </si>
  <si>
    <t>sale_price_with_fee</t>
  </si>
  <si>
    <t>start_date</t>
  </si>
  <si>
    <t>stop_date</t>
  </si>
  <si>
    <t>default_photo</t>
  </si>
  <si>
    <t>photo_2</t>
  </si>
  <si>
    <t>photo_3</t>
  </si>
  <si>
    <t>photo_4</t>
  </si>
  <si>
    <t>product_url</t>
  </si>
  <si>
    <t>warranty_period</t>
  </si>
  <si>
    <t>warranty_unit_of_time</t>
  </si>
  <si>
    <t>length</t>
  </si>
  <si>
    <t>width</t>
  </si>
  <si>
    <t>height</t>
  </si>
  <si>
    <t>physical_uom</t>
  </si>
  <si>
    <t>weight_lbs</t>
  </si>
  <si>
    <t>product_info_code</t>
  </si>
  <si>
    <t>url_508</t>
  </si>
  <si>
    <t>hazmat</t>
  </si>
  <si>
    <t>dealer_cost</t>
  </si>
  <si>
    <t>mfc_markup_percentage</t>
  </si>
  <si>
    <t>govt_markup_percentage</t>
  </si>
  <si>
    <t>B</t>
  </si>
  <si>
    <t>Bates</t>
  </si>
  <si>
    <t>E01830-3M</t>
  </si>
  <si>
    <t>B-E01830-3M</t>
  </si>
  <si>
    <t>BATES MEN'S SENTINEL CHUKKA</t>
  </si>
  <si>
    <t>Bates Men's Sentinal Chukka, Black Shoe, Leather,High gloss upper for easy cleaning, Breathable and moisture-wicking lining keeps your feet cool and dry, EXTRALIGHT® outsole foam is durable, flexible, and a natural shockabsorber, 
Ideal for: Service/Duty
Size: 3M</t>
  </si>
  <si>
    <t>PR</t>
  </si>
  <si>
    <t>Add</t>
  </si>
  <si>
    <t>BD</t>
  </si>
  <si>
    <t>AE</t>
  </si>
  <si>
    <t>DA</t>
  </si>
  <si>
    <t>E01830-3.5M</t>
  </si>
  <si>
    <t>B-E01830-3.5M</t>
  </si>
  <si>
    <t>Bates Men's Sentinal Chukka, Black Shoe, Leather,High gloss upper for easy cleaning, Breathable and moisture-wicking lining keeps your feet cool and dry, EXTRALIGHT® outsole foam is durable, flexible, and a natural shockabsorber, 
Ideal for: Service/Duty
 Size: 3.5M</t>
  </si>
  <si>
    <t>E01830-4M</t>
  </si>
  <si>
    <t>B-E01830-4M</t>
  </si>
  <si>
    <t>Bates Men's Sentinal Chukka, Black Shoe, Leather,High gloss upper for easy cleaning, Breathable and moisture-wicking lining keeps your feet cool and dry, EXTRALIGHT® outsole foam is durable, flexible, and a natural shockabsorber, 
Ideal for: Service/Duty
 Size: 4M</t>
  </si>
  <si>
    <t>E01830-4.5M</t>
  </si>
  <si>
    <t>B-E01830-4.5M</t>
  </si>
  <si>
    <t>Bates Men's Sentinal Chukka, Black Shoe, Leather,High gloss upper for easy cleaning, Breathable and moisture-wicking lining keeps your feet cool and dry, EXTRALIGHT® outsole foam is durable, flexible, and a natural shockabsorber, 
Ideal for: Service/Duty
 Size: 4.5M</t>
  </si>
  <si>
    <t>E01830-5M</t>
  </si>
  <si>
    <t>B-E01830-5M</t>
  </si>
  <si>
    <t>Bates Men's Sentinal Chukka, Black Shoe, Leather,High gloss upper for easy cleaning, Breathable and moisture-wicking lining keeps your feet cool and dry, EXTRALIGHT® outsole foam is durable, flexible, and a natural shockabsorber, 
Ideal for: Service/Duty
 Size: 5M</t>
  </si>
  <si>
    <t>E01830-5.5M</t>
  </si>
  <si>
    <t>B-E01830-5.5M</t>
  </si>
  <si>
    <t>Bates Men's Sentinal Chukka, Black Shoe, Leather,High gloss upper for easy cleaning, Breathable and moisture-wicking lining keeps your feet cool and dry, EXTRALIGHT® outsole foam is durable, flexible, and a natural shockabsorber, 
Ideal for: Service/Duty
 Size: 5.5M</t>
  </si>
  <si>
    <t>E01830-6M</t>
  </si>
  <si>
    <t>B-E01830-6M</t>
  </si>
  <si>
    <t>Bates Men's Sentinal Chukka, Black Shoe, Leather,High gloss upper for easy cleaning, Breathable and moisture-wicking lining keeps your feet cool and dry, EXTRALIGHT® outsole foam is durable, flexible, and a natural shockabsorber, 
Ideal for: Service/Duty
 Size: 6M</t>
  </si>
  <si>
    <t>E01830-6.5M</t>
  </si>
  <si>
    <t>B-E01830-6.5M</t>
  </si>
  <si>
    <t>Bates Men's Sentinal Chukka, Black Shoe, Leather,High gloss upper for easy cleaning, Breathable and moisture-wicking lining keeps your feet cool and dry, EXTRALIGHT® outsole foam is durable, flexible, and a natural shockabsorber, 
Ideal for: Service/Duty
 Size: 6.5M</t>
  </si>
  <si>
    <t>E01830-7M</t>
  </si>
  <si>
    <t>B-E01830-7M</t>
  </si>
  <si>
    <t>Bates Men's Sentinal Chukka, Black Shoe, Leather,High gloss upper for easy cleaning, Breathable and moisture-wicking lining keeps your feet cool and dry, EXTRALIGHT® outsole foam is durable, flexible, and a natural shockabsorber, 
Ideal for: Service/Duty
 Size: 7M</t>
  </si>
  <si>
    <t>E01830-7EW</t>
  </si>
  <si>
    <t>B-E01830-7EW</t>
  </si>
  <si>
    <t>Bates Men's Sentinal Chukka, Black Shoe, Leather,High gloss upper for easy cleaning, Breathable and moisture-wicking lining keeps your feet cool and dry, EXTRALIGHT® outsole foam is durable, flexible, and a natural shockabsorber, 
Ideal for: Service/Duty
 Size: 7EW</t>
  </si>
  <si>
    <t>E01830-7.5M</t>
  </si>
  <si>
    <t>B-E01830-7.5M</t>
  </si>
  <si>
    <t>Bates Men's Sentinal Chukka, Black Shoe, Leather,High gloss upper for easy cleaning, Breathable and moisture-wicking lining keeps your feet cool and dry, EXTRALIGHT® outsole foam is durable, flexible, and a natural shockabsorber, 
Ideal for: Service/Duty
 Size: 7.5M</t>
  </si>
  <si>
    <t>E01830-7.5EW</t>
  </si>
  <si>
    <t>B-E01830-7.5EW</t>
  </si>
  <si>
    <t>Bates Men's Sentinal Chukka, Black Shoe, Leather,High gloss upper for easy cleaning, Breathable and moisture-wicking lining keeps your feet cool and dry, EXTRALIGHT® outsole foam is durable, flexible, and a natural shockabsorber, 
Ideal for: Service/Duty
 Size: 7.5EW</t>
  </si>
  <si>
    <t>E01830-8M</t>
  </si>
  <si>
    <t>B-E01830-8M</t>
  </si>
  <si>
    <t>Bates Men's Sentinal Chukka, Black Shoe, Leather,High gloss upper for easy cleaning, Breathable and moisture-wicking lining keeps your feet cool and dry, EXTRALIGHT® outsole foam is durable, flexible, and a natural shockabsorber, 
Ideal for: Service/Duty
 Size: 8M</t>
  </si>
  <si>
    <t>E01830-8EW</t>
  </si>
  <si>
    <t>B-E01830-8EW</t>
  </si>
  <si>
    <t>Bates Men's Sentinal Chukka, Black Shoe, Leather,High gloss upper for easy cleaning, Breathable and moisture-wicking lining keeps your feet cool and dry, EXTRALIGHT® outsole foam is durable, flexible, and a natural shockabsorber, 
Ideal for: Service/Duty
 Size: 8EW</t>
  </si>
  <si>
    <t>E01830-8.5M</t>
  </si>
  <si>
    <t>B-E01830-8.5M</t>
  </si>
  <si>
    <t>Bates Men's Sentinal Chukka, Black Shoe, Leather,High gloss upper for easy cleaning, Breathable and moisture-wicking lining keeps your feet cool and dry, EXTRALIGHT® outsole foam is durable, flexible, and a natural shockabsorber, 
Ideal for: Service/Duty
 Size: 8.5M</t>
  </si>
  <si>
    <t>E01830-8.5EW</t>
  </si>
  <si>
    <t>B-E01830-8.5EW</t>
  </si>
  <si>
    <t>Bates Men's Sentinal Chukka, Black Shoe, Leather,High gloss upper for easy cleaning, Breathable and moisture-wicking lining keeps your feet cool and dry, EXTRALIGHT® outsole foam is durable, flexible, and a natural shockabsorber, 
Ideal for: Service/Duty
 Size: 8.5EW</t>
  </si>
  <si>
    <t>E01830-9M</t>
  </si>
  <si>
    <t>B-E01830-9M</t>
  </si>
  <si>
    <t>Bates Men's Sentinal Chukka, Black Shoe, Leather,High gloss upper for easy cleaning, Breathable and moisture-wicking lining keeps your feet cool and dry, EXTRALIGHT® outsole foam is durable, flexible, and a natural shockabsorber, 
Ideal for: Service/Duty
 Size: 9M</t>
  </si>
  <si>
    <t>E01830-9EW</t>
  </si>
  <si>
    <t>B-E01830-9EW</t>
  </si>
  <si>
    <t>Bates Men's Sentinal Chukka, Black Shoe, Leather,High gloss upper for easy cleaning, Breathable and moisture-wicking lining keeps your feet cool and dry, EXTRALIGHT® outsole foam is durable, flexible, and a natural shockabsorber, 
Ideal for: Service/Duty
 Size: 9EW</t>
  </si>
  <si>
    <t>E01830-9.5M</t>
  </si>
  <si>
    <t>B-E01830-9.5M</t>
  </si>
  <si>
    <t>Bates Men's Sentinal Chukka, Black Shoe, Leather,High gloss upper for easy cleaning, Breathable and moisture-wicking lining keeps your feet cool and dry, EXTRALIGHT® outsole foam is durable, flexible, and a natural shockabsorber, 
Ideal for: Service/Duty
 Size: 9.5M</t>
  </si>
  <si>
    <t>E01830-9.5EW</t>
  </si>
  <si>
    <t>B-E01830-9.5EW</t>
  </si>
  <si>
    <t>Bates Men's Sentinal Chukka, Black Shoe, Leather,High gloss upper for easy cleaning, Breathable and moisture-wicking lining keeps your feet cool and dry, EXTRALIGHT® outsole foam is durable, flexible, and a natural shockabsorber, 
Ideal for: Service/Duty
 Size: 9.5EW</t>
  </si>
  <si>
    <t>E01830-10M</t>
  </si>
  <si>
    <t>B-E01830-10M</t>
  </si>
  <si>
    <t>Bates Men's Sentinal Chukka, Black Shoe, Leather,High gloss upper for easy cleaning, Breathable and moisture-wicking lining keeps your feet cool and dry, EXTRALIGHT® outsole foam is durable, flexible, and a natural shockabsorber, 
Ideal for: Service/Duty
 Size: 10M</t>
  </si>
  <si>
    <t>E01830-10EW</t>
  </si>
  <si>
    <t>B-E01830-10EW</t>
  </si>
  <si>
    <t>Bates Men's Sentinal Chukka, Black Shoe, Leather,High gloss upper for easy cleaning, Breathable and moisture-wicking lining keeps your feet cool and dry, EXTRALIGHT® outsole foam is durable, flexible, and a natural shockabsorber, 
Ideal for: Service/Duty
 Size: 10EW</t>
  </si>
  <si>
    <t>E01830-10.5M</t>
  </si>
  <si>
    <t>B-E01830-10.5M</t>
  </si>
  <si>
    <t>Bates Men's Sentinal Chukka, Black Shoe, Leather,High gloss upper for easy cleaning, Breathable and moisture-wicking lining keeps your feet cool and dry, EXTRALIGHT® outsole foam is durable, flexible, and a natural shockabsorber, 
Ideal for: Service/Duty
 Size: 10.5M</t>
  </si>
  <si>
    <t>E01830-10.5EW</t>
  </si>
  <si>
    <t>B-E01830-10.5EW</t>
  </si>
  <si>
    <t>Bates Men's Sentinal Chukka, Black Shoe, Leather,High gloss upper for easy cleaning, Breathable and moisture-wicking lining keeps your feet cool and dry, EXTRALIGHT® outsole foam is durable, flexible, and a natural shockabsorber, 
Ideal for: Service/Duty
 Size: 10.5EW</t>
  </si>
  <si>
    <t>E01830-11M</t>
  </si>
  <si>
    <t>B-E01830-11M</t>
  </si>
  <si>
    <t>Bates Men's Sentinal Chukka, Black Shoe, Leather,High gloss upper for easy cleaning, Breathable and moisture-wicking lining keeps your feet cool and dry, EXTRALIGHT® outsole foam is durable, flexible, and a natural shockabsorber, 
Ideal for: Service/Duty
 Size: 11M</t>
  </si>
  <si>
    <t>E01830-11EW</t>
  </si>
  <si>
    <t>B-E01830-11EW</t>
  </si>
  <si>
    <t>Bates Men's Sentinal Chukka, Black Shoe, Leather,High gloss upper for easy cleaning, Breathable and moisture-wicking lining keeps your feet cool and dry, EXTRALIGHT® outsole foam is durable, flexible, and a natural shockabsorber, 
Ideal for: Service/Duty
 Size: 11EW</t>
  </si>
  <si>
    <t>E01830-11.5M</t>
  </si>
  <si>
    <t>B-E01830-11.5M</t>
  </si>
  <si>
    <t>Bates Men's Sentinal Chukka, Black Shoe, Leather,High gloss upper for easy cleaning, Breathable and moisture-wicking lining keeps your feet cool and dry, EXTRALIGHT® outsole foam is durable, flexible, and a natural shockabsorber, 
Ideal for: Service/Duty
 Size: 11.5M</t>
  </si>
  <si>
    <t>E01830-11.5EW</t>
  </si>
  <si>
    <t>B-E01830-11.5EW</t>
  </si>
  <si>
    <t>Bates Men's Sentinal Chukka, Black Shoe, Leather,High gloss upper for easy cleaning, Breathable and moisture-wicking lining keeps your feet cool and dry, EXTRALIGHT® outsole foam is durable, flexible, and a natural shockabsorber, 
Ideal for: Service/Duty
 Size: 11.5EW</t>
  </si>
  <si>
    <t>E01830-12M</t>
  </si>
  <si>
    <t>B-E01830-12M</t>
  </si>
  <si>
    <t>Bates Men's Sentinal Chukka, Black Shoe, Leather,High gloss upper for easy cleaning, Breathable and moisture-wicking lining keeps your feet cool and dry, EXTRALIGHT® outsole foam is durable, flexible, and a natural shockabsorber, 
Ideal for: Service/Duty
 Size: 12M</t>
  </si>
  <si>
    <t>E01830-12EW</t>
  </si>
  <si>
    <t>B-E01830-12EW</t>
  </si>
  <si>
    <t>Bates Men's Sentinal Chukka, Black Shoe, Leather,High gloss upper for easy cleaning, Breathable and moisture-wicking lining keeps your feet cool and dry, EXTRALIGHT® outsole foam is durable, flexible, and a natural shockabsorber, 
Ideal for: Service/Duty
 Size: 12EW</t>
  </si>
  <si>
    <t>E01830-13M</t>
  </si>
  <si>
    <t>B-E01830-13M</t>
  </si>
  <si>
    <t>Bates Men's Sentinal Chukka, Black Shoe, Leather,High gloss upper for easy cleaning, Breathable and moisture-wicking lining keeps your feet cool and dry, EXTRALIGHT® outsole foam is durable, flexible, and a natural shockabsorber, 
Ideal for: Service/Duty
 Size: 13M</t>
  </si>
  <si>
    <t>E01830-13EW</t>
  </si>
  <si>
    <t>B-E01830-13EW</t>
  </si>
  <si>
    <t>Bates Men's Sentinal Chukka, Black Shoe, Leather,High gloss upper for easy cleaning, Breathable and moisture-wicking lining keeps your feet cool and dry, EXTRALIGHT® outsole foam is durable, flexible, and a natural shockabsorber, 
Ideal for: Service/Duty
 Size: 13EW</t>
  </si>
  <si>
    <t>E01830-14M</t>
  </si>
  <si>
    <t>B-E01830-14M</t>
  </si>
  <si>
    <t>Bates Men's Sentinal Chukka, Black Shoe, Leather,High gloss upper for easy cleaning, Breathable and moisture-wicking lining keeps your feet cool and dry, EXTRALIGHT® outsole foam is durable, flexible, and a natural shockabsorber, 
Ideal for: Service/Duty
 Size: 14M</t>
  </si>
  <si>
    <t>E01830-14EW</t>
  </si>
  <si>
    <t>B-E01830-14EW</t>
  </si>
  <si>
    <t>Bates Men's Sentinal Chukka, Black Shoe, Leather,High gloss upper for easy cleaning, Breathable and moisture-wicking lining keeps your feet cool and dry, EXTRALIGHT® outsole foam is durable, flexible, and a natural shockabsorber, 
Ideal for: Service/Duty
 Size: 14EW</t>
  </si>
  <si>
    <t>E01830-15M</t>
  </si>
  <si>
    <t>B-E01830-15M</t>
  </si>
  <si>
    <t>Bates Men's Sentinal Chukka, Black Shoe, Leather,High gloss upper for easy cleaning, Breathable and moisture-wicking lining keeps your feet cool and dry, EXTRALIGHT® outsole foam is durable, flexible, and a natural shockabsorber, 
Ideal for: Service/Duty
 Size: 15M</t>
  </si>
  <si>
    <t>E01830-15EW</t>
  </si>
  <si>
    <t>B-E01830-15EW</t>
  </si>
  <si>
    <t>Bates Men's Sentinal Chukka, Black Shoe, Leather,High gloss upper for easy cleaning, Breathable and moisture-wicking lining keeps your feet cool and dry, EXTRALIGHT® outsole foam is durable, flexible, and a natural shockabsorber, 
Ideal for: Service/Duty
 Size: 15EW</t>
  </si>
  <si>
    <t>E01831-3M</t>
  </si>
  <si>
    <t>B-E01831-3M</t>
  </si>
  <si>
    <t>Bates Men's Sentinal Chukka, Black Shoe, Leather,High gloss upper for easy cleaning, Breathable and moisture-wicking lining keeps your feet cool and dry, EXTRALIGHT® outsole foam is durable, flexible, and a natural shockabsorber, 
Ideal for: Service/Duty
 Size: 3M</t>
  </si>
  <si>
    <t>E01831-3.5M</t>
  </si>
  <si>
    <t>B-E01831-3.5M</t>
  </si>
  <si>
    <t>E01831-4M</t>
  </si>
  <si>
    <t>B-E01831-4M</t>
  </si>
  <si>
    <t>E01831-4.5M</t>
  </si>
  <si>
    <t>B-E01831-4.5M</t>
  </si>
  <si>
    <t>E01831-5M</t>
  </si>
  <si>
    <t>B-E01831-5M</t>
  </si>
  <si>
    <t>E01831-5.5M</t>
  </si>
  <si>
    <t>B-E01831-5.5M</t>
  </si>
  <si>
    <t>E01831-6M</t>
  </si>
  <si>
    <t>B-E01831-6M</t>
  </si>
  <si>
    <t>E01831-6.5M</t>
  </si>
  <si>
    <t>B-E01831-6.5M</t>
  </si>
  <si>
    <t>E01831-7M</t>
  </si>
  <si>
    <t>B-E01831-7M</t>
  </si>
  <si>
    <t>E01831-7EW</t>
  </si>
  <si>
    <t>B-E01831-7EW</t>
  </si>
  <si>
    <t>E01831-7.5M</t>
  </si>
  <si>
    <t>B-E01831-7.5M</t>
  </si>
  <si>
    <t>E01831-7.5EW</t>
  </si>
  <si>
    <t>B-E01831-7.5EW</t>
  </si>
  <si>
    <t>E01831-8M</t>
  </si>
  <si>
    <t>B-E01831-8M</t>
  </si>
  <si>
    <t>E01831-8EW</t>
  </si>
  <si>
    <t>B-E01831-8EW</t>
  </si>
  <si>
    <t>E01831-8.5M</t>
  </si>
  <si>
    <t>B-E01831-8.5M</t>
  </si>
  <si>
    <t>E01831-8.5EW</t>
  </si>
  <si>
    <t>B-E01831-8.5EW</t>
  </si>
  <si>
    <t>E01831-9M</t>
  </si>
  <si>
    <t>B-E01831-9M</t>
  </si>
  <si>
    <t>E01831-9EW</t>
  </si>
  <si>
    <t>B-E01831-9EW</t>
  </si>
  <si>
    <t>E01831-9.5M</t>
  </si>
  <si>
    <t>B-E01831-9.5M</t>
  </si>
  <si>
    <t>E01831-9.5EW</t>
  </si>
  <si>
    <t>B-E01831-9.5EW</t>
  </si>
  <si>
    <t>E01831-10M</t>
  </si>
  <si>
    <t>B-E01831-10M</t>
  </si>
  <si>
    <t>E01831-10EW</t>
  </si>
  <si>
    <t>B-E01831-10EW</t>
  </si>
  <si>
    <t>E01831-10.5M</t>
  </si>
  <si>
    <t>B-E01831-10.5M</t>
  </si>
  <si>
    <t>E01831-10.5EW</t>
  </si>
  <si>
    <t>B-E01831-10.5EW</t>
  </si>
  <si>
    <t>E01831-11M</t>
  </si>
  <si>
    <t>B-E01831-11M</t>
  </si>
  <si>
    <t>E01831-11EW</t>
  </si>
  <si>
    <t>B-E01831-11EW</t>
  </si>
  <si>
    <t>E01831-11.5M</t>
  </si>
  <si>
    <t>B-E01831-11.5M</t>
  </si>
  <si>
    <t>E01831-11.5EW</t>
  </si>
  <si>
    <t>B-E01831-11.5EW</t>
  </si>
  <si>
    <t>E01831-12M</t>
  </si>
  <si>
    <t>B-E01831-12M</t>
  </si>
  <si>
    <t>E01831-12EW</t>
  </si>
  <si>
    <t>B-E01831-12EW</t>
  </si>
  <si>
    <t>E01831-13M</t>
  </si>
  <si>
    <t>B-E01831-13M</t>
  </si>
  <si>
    <t>E01831-13EW</t>
  </si>
  <si>
    <t>B-E01831-13EW</t>
  </si>
  <si>
    <t>E01831-14M</t>
  </si>
  <si>
    <t>B-E01831-14M</t>
  </si>
  <si>
    <t>E01831-14EW</t>
  </si>
  <si>
    <t>B-E01831-14EW</t>
  </si>
  <si>
    <t>E01831-15M</t>
  </si>
  <si>
    <t>B-E01831-15M</t>
  </si>
  <si>
    <t>E01831-15EW</t>
  </si>
  <si>
    <t>B-E01831-15EW</t>
  </si>
  <si>
    <t>E01832-3M</t>
  </si>
  <si>
    <t>B-E01832-3M</t>
  </si>
  <si>
    <t>BATES MEN'S SENTINEL CHUKKA BUCKLE</t>
  </si>
  <si>
    <t>Bates Men's Sentinal Chukka Buckle, BLACK, Shoe, Leather, Breathable and moisture-wicking lining keeps your feet cool and dry, 
Ideal for: Service/Duty
Size: 3M</t>
  </si>
  <si>
    <t>E01832-3.5M</t>
  </si>
  <si>
    <t>B-E01832-3.5M</t>
  </si>
  <si>
    <t>Bates Men's Sentinal Chukka Buckle, BLACK, Shoe, Leather, Breathable and moisture-wicking lining keeps your feet cool and dry, 
Ideal for: Service/Duty
Size: 3.5M</t>
  </si>
  <si>
    <t>E01832-4M</t>
  </si>
  <si>
    <t>B-E01832-4M</t>
  </si>
  <si>
    <t>Bates Men's Sentinal Chukka Buckle, BLACK, Shoe, Leather, Breathable and moisture-wicking lining keeps your feet cool and dry, 
Ideal for: Service/Duty
Size: 4M</t>
  </si>
  <si>
    <t>E01832-4.5M</t>
  </si>
  <si>
    <t>B-E01832-4.5M</t>
  </si>
  <si>
    <t>Bates Men's Sentinal Chukka Buckle, BLACK, Shoe, Leather, Breathable and moisture-wicking lining keeps your feet cool and dry, 
Ideal for: Service/Duty
MSize: 4.5M</t>
  </si>
  <si>
    <t>E01832-5M</t>
  </si>
  <si>
    <t>B-E01832-5M</t>
  </si>
  <si>
    <t>Bates Men's Sentinal Chukka Buckle, BLACK, Shoe, Leather, Breathable and moisture-wicking lining keeps your feet cool and dry, 
Ideal for: Service/Duty
 Size: 5M</t>
  </si>
  <si>
    <t>E01832-5.5M</t>
  </si>
  <si>
    <t>B-E01832-5.5M</t>
  </si>
  <si>
    <t>Bates Men's Sentinal Chukka Buckle, BLACK, Shoe, Leather, Breathable and moisture-wicking lining keeps your feet cool and dry, 
Ideal for: Service/Duty
 Size: 5.5M</t>
  </si>
  <si>
    <t>E01832-6M</t>
  </si>
  <si>
    <t>B-E01832-6M</t>
  </si>
  <si>
    <t>Bates Men's Sentinal Chukka Buckle, BLACK, Shoe, Leather, Breathable and moisture-wicking lining keeps your feet cool and dry, 
Ideal for: Service/Duty
Size: 6M</t>
  </si>
  <si>
    <t>E01832-6.5M</t>
  </si>
  <si>
    <t>B-E01832-6.5M</t>
  </si>
  <si>
    <t>Bates Men's Sentinal Chukka Buckle, BLACK, Shoe, Leather, Breathable and moisture-wicking lining keeps your feet cool and dry, 
Ideal for: Service/Duty
Size: 6.5M</t>
  </si>
  <si>
    <t>E01832-7M</t>
  </si>
  <si>
    <t>B-E01832-7M</t>
  </si>
  <si>
    <t>Bates Men's Sentinal Chukka Buckle, BLACK, Shoe, Leather, Breathable and moisture-wicking lining keeps your feet cool and dry, 
Ideal for: Service/Duty
Size: 7M</t>
  </si>
  <si>
    <t>E01832-7EW</t>
  </si>
  <si>
    <t>B-E01832-7EW</t>
  </si>
  <si>
    <t>Bates Men's Sentinal Chukka Buckle, BLACK, Shoe, Leather, Breathable and moisture-wicking lining keeps your feet cool and dry, 
Ideal for: Service/Duty
Size: 7EW</t>
  </si>
  <si>
    <t>E01832-7.5M</t>
  </si>
  <si>
    <t>B-E01832-7.5M</t>
  </si>
  <si>
    <t>Bates Men's Sentinal Chukka Buckle, BLACK, Shoe, Leather, Breathable and moisture-wicking lining keeps your feet cool and dry, 
Ideal for: Service/Duty
Size: 7.5M</t>
  </si>
  <si>
    <t>E01832-7.5EW</t>
  </si>
  <si>
    <t>B-E01832-7.5EW</t>
  </si>
  <si>
    <t>Bates Men's Sentinal Chukka Buckle, BLACK, Shoe, Leather, Breathable and moisture-wicking lining keeps your feet cool and dry, 
Ideal for: Service/Duty
Size: 7.5EW</t>
  </si>
  <si>
    <t>E01832-8M</t>
  </si>
  <si>
    <t>B-E01832-8M</t>
  </si>
  <si>
    <t>Bates Men's Sentinal Chukka Buckle, BLACK, Shoe, Leather, Breathable and moisture-wicking lining keeps your feet cool and dry, 
Ideal for: Service/Duty
Size: 8M</t>
  </si>
  <si>
    <t>E01832-8EW</t>
  </si>
  <si>
    <t>B-E01832-8EW</t>
  </si>
  <si>
    <t>Bates Men's Sentinal Chukka Buckle, BLACK, Shoe, Leather, Breathable and moisture-wicking lining keeps your feet cool and dry, 
Ideal for: Service/Duty
Size: 8EW</t>
  </si>
  <si>
    <t>E01832-8.5M</t>
  </si>
  <si>
    <t>B-E01832-8.5M</t>
  </si>
  <si>
    <t>Bates Men's Sentinal Chukka Buckle, BLACK, Shoe, Leather, Breathable and moisture-wicking lining keeps your feet cool and dry, 
Ideal for: Service/Duty
Size: 8.5M</t>
  </si>
  <si>
    <t>E01832-8.5EW</t>
  </si>
  <si>
    <t>B-E01832-8.5EW</t>
  </si>
  <si>
    <t>Bates Men's Sentinal Chukka Buckle, BLACK, Shoe, Leather, Breathable and moisture-wicking lining keeps your feet cool and dry, 
Ideal for: Service/Duty
Size: 8.5EW</t>
  </si>
  <si>
    <t>E01832-9M</t>
  </si>
  <si>
    <t>B-E01832-9M</t>
  </si>
  <si>
    <t>Bates Men's Sentinal Chukka Buckle, BLACK, Shoe, Leather, Breathable and moisture-wicking lining keeps your feet cool and dry, 
Ideal for: Service/Duty
Size: 9M</t>
  </si>
  <si>
    <t>E01832-9EW</t>
  </si>
  <si>
    <t>B-E01832-9EW</t>
  </si>
  <si>
    <t>Bates Men's Sentinal Chukka Buckle, BLACK, Shoe, Leather, Breathable and moisture-wicking lining keeps your feet cool and dry, 
Ideal for: Service/Duty
Size: 9EW</t>
  </si>
  <si>
    <t>E01832-9.5M</t>
  </si>
  <si>
    <t>B-E01832-9.5M</t>
  </si>
  <si>
    <t>Bates Men's Sentinal Chukka Buckle, BLACK, Shoe, Leather, Breathable and moisture-wicking lining keeps your feet cool and dry, 
Ideal for: Service/Duty
Size: 9.5M</t>
  </si>
  <si>
    <t>E01832-9.5EW</t>
  </si>
  <si>
    <t>B-E01832-9.5EW</t>
  </si>
  <si>
    <t>Bates Men's Sentinal Chukka Buckle, BLACK, Shoe, Leather, Breathable and moisture-wicking lining keeps your feet cool and dry, 
Ideal for: Service/Duty
Size: 9.5EW</t>
  </si>
  <si>
    <t>E01832-10M</t>
  </si>
  <si>
    <t>B-E01832-10M</t>
  </si>
  <si>
    <t>Bates Men's Sentinal Chukka Buckle, BLACK, Shoe, Leather, Breathable and moisture-wicking lining keeps your feet cool and dry, 
Ideal for: Service/Duty
Size: 10M</t>
  </si>
  <si>
    <t>E01832-10EW</t>
  </si>
  <si>
    <t>B-E01832-10EW</t>
  </si>
  <si>
    <t>Bates Men's Sentinal Chukka Buckle, BLACK, Shoe, Leather, Breathable and moisture-wicking lining keeps your feet cool and dry, 
Ideal for: Service/Duty
Size: 10EW</t>
  </si>
  <si>
    <t>E01832-10.5M</t>
  </si>
  <si>
    <t>B-E01832-10.5M</t>
  </si>
  <si>
    <t>Bates Men's Sentinal Chukka Buckle, BLACK, Shoe, Leather, Breathable and moisture-wicking lining keeps your feet cool and dry, 
Ideal for: Service/Duty
Size: 10.5M</t>
  </si>
  <si>
    <t>E01832-10.5EW</t>
  </si>
  <si>
    <t>B-E01832-10.5EW</t>
  </si>
  <si>
    <t>Bates Men's Sentinal Chukka Buckle, BLACK, Shoe, Leather, Breathable and moisture-wicking lining keeps your feet cool and dry, 
Ideal for: Service/Duty
Size: 10.5EW</t>
  </si>
  <si>
    <t>E01832-11M</t>
  </si>
  <si>
    <t>B-E01832-11M</t>
  </si>
  <si>
    <t>Bates Men's Sentinal Chukka Buckle, BLACK, Shoe, Leather, Breathable and moisture-wicking lining keeps your feet cool and dry, 
Ideal for: Service/Duty
Size: 11M</t>
  </si>
  <si>
    <t>E01832-11EW</t>
  </si>
  <si>
    <t>B-E01832-11EW</t>
  </si>
  <si>
    <t>Bates Men's Sentinal Chukka Buckle, BLACK, Shoe, Leather, Breathable and moisture-wicking lining keeps your feet cool and dry, 
Ideal for: Service/Duty
Size: 11EW</t>
  </si>
  <si>
    <t>E01832-11.5M</t>
  </si>
  <si>
    <t>B-E01832-11.5M</t>
  </si>
  <si>
    <t>Bates Men's Sentinal Chukka Buckle, BLACK, Shoe, Leather, Breathable and moisture-wicking lining keeps your feet cool and dry, 
Ideal for: Service/Duty
Size: 11.5M</t>
  </si>
  <si>
    <t>E01832-11.5EW</t>
  </si>
  <si>
    <t>B-E01832-11.5EW</t>
  </si>
  <si>
    <t>Bates Men's Sentinal Chukka Buckle, BLACK, Shoe, Leather, Breathable and moisture-wicking lining keeps your feet cool and dry, 
Ideal for: Service/Duty
Size: 11.5EW</t>
  </si>
  <si>
    <t>E01832-12M</t>
  </si>
  <si>
    <t>B-E01832-12M</t>
  </si>
  <si>
    <t>Bates Men's Sentinal Chukka Buckle, BLACK, Shoe, Leather, Breathable and moisture-wicking lining keeps your feet cool and dry, 
Ideal for: Service/Duty
Size: 12M</t>
  </si>
  <si>
    <t>E01832-12EW</t>
  </si>
  <si>
    <t>B-E01832-12EW</t>
  </si>
  <si>
    <t>Bates Men's Sentinal Chukka Buckle, BLACK, Shoe, Leather, Breathable and moisture-wicking lining keeps your feet cool and dry, 
Ideal for: Service/Duty
Size: 12EW</t>
  </si>
  <si>
    <t>E01832-13M</t>
  </si>
  <si>
    <t>B-E01832-13M</t>
  </si>
  <si>
    <t>Bates Men's Sentinal Chukka Buckle, BLACK, Shoe, Leather, Breathable and moisture-wicking lining keeps your feet cool and dry, 
Ideal for: Service/Duty
Size: 13M</t>
  </si>
  <si>
    <t>E01832-13EW</t>
  </si>
  <si>
    <t>B-E01832-13EW</t>
  </si>
  <si>
    <t>Bates Men's Sentinal Chukka Buckle, BLACK, Shoe, Leather, Breathable and moisture-wicking lining keeps your feet cool and dry, 
Ideal for: Service/Duty
Size: 13EW</t>
  </si>
  <si>
    <t>E01832-14M</t>
  </si>
  <si>
    <t>B-E01832-14M</t>
  </si>
  <si>
    <t>Bates Men's Sentinal Chukka Buckle, BLACK, Shoe, Leather, Breathable and moisture-wicking lining keeps your feet cool and dry, 
Ideal for: Service/Duty
Size: 14M</t>
  </si>
  <si>
    <t>E01832-14EW</t>
  </si>
  <si>
    <t>B-E01832-14EW</t>
  </si>
  <si>
    <t>Bates Men's Sentinal Chukka Buckle, BLACK, Shoe, Leather, Breathable and moisture-wicking lining keeps your feet cool and dry, 
Ideal for: Service/Duty
Size: 14EW</t>
  </si>
  <si>
    <t>E01832-15M</t>
  </si>
  <si>
    <t>B-E01832-15M</t>
  </si>
  <si>
    <t>Bates Men's Sentinal Chukka Buckle, BLACK, Shoe, Leather, Breathable and moisture-wicking lining keeps your feet cool and dry, 
Ideal for: Service/Duty
Size: 15M</t>
  </si>
  <si>
    <t>E01832-15EW</t>
  </si>
  <si>
    <t>B-E01832-15EW</t>
  </si>
  <si>
    <t>Bates Men's Sentinal Chukka Buckle, BLACK, Shoe, Leather, Breathable and moisture-wicking lining keeps your feet cool and dry, 
Ideal for: Service/Duty
Size: 15EW</t>
  </si>
  <si>
    <t>E01840-7M</t>
  </si>
  <si>
    <t>B-E01840-7M</t>
  </si>
  <si>
    <t>BATES MEN'S SENTRY OXFORD SHOE</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</si>
  <si>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7M</t>
  </si>
  <si>
    <t>E01840-7EW</t>
  </si>
  <si>
    <t>B-E01840-7EW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</si>
  <si>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7EW</t>
  </si>
  <si>
    <t>E01840-7.5M</t>
  </si>
  <si>
    <t>B-E01840-7.5M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</si>
  <si>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7.5M</t>
  </si>
  <si>
    <t>E01840-7.5EW</t>
  </si>
  <si>
    <t>B-E01840-7.5EW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</si>
  <si>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7.5EW</t>
  </si>
  <si>
    <t>E01840-8M</t>
  </si>
  <si>
    <t>B-E01840-8M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</si>
  <si>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8M</t>
  </si>
  <si>
    <t>E01840-8EW</t>
  </si>
  <si>
    <t>B-E01840-8EW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</si>
  <si>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8EW</t>
  </si>
  <si>
    <t>E01840-8.5M</t>
  </si>
  <si>
    <t>B-E01840-8.5M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</si>
  <si>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8.5M</t>
  </si>
  <si>
    <t>E01840-8.5EW</t>
  </si>
  <si>
    <t>B-E01840-8.5EW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</si>
  <si>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8.5EW</t>
  </si>
  <si>
    <t>E01840-9M</t>
  </si>
  <si>
    <t>B-E01840-9M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</si>
  <si>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9M</t>
  </si>
  <si>
    <t>E01840-9EW</t>
  </si>
  <si>
    <t>B-E01840-9EW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</si>
  <si>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9EW</t>
  </si>
  <si>
    <t>E01840-9.5M</t>
  </si>
  <si>
    <t>B-E01840-9.5M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</si>
  <si>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9.5M</t>
  </si>
  <si>
    <t>E01840-9.5EW</t>
  </si>
  <si>
    <t>B-E01840-9.5EW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</si>
  <si>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9.5EW</t>
  </si>
  <si>
    <t>E01840-10M</t>
  </si>
  <si>
    <t>B-E01840-10M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</si>
  <si>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10M</t>
  </si>
  <si>
    <t>E01840-10EW</t>
  </si>
  <si>
    <t>B-E01840-10EW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</si>
  <si>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10EW</t>
  </si>
  <si>
    <t>E01840-10.5M</t>
  </si>
  <si>
    <t>B-E01840-10.5M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</si>
  <si>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10.5M</t>
  </si>
  <si>
    <t>E01840-10.5EW</t>
  </si>
  <si>
    <t>B-E01840-10.5EW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</si>
  <si>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10.5EW</t>
  </si>
  <si>
    <t>E01840-11M</t>
  </si>
  <si>
    <t>B-E01840-11M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</si>
  <si>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11M</t>
  </si>
  <si>
    <t>E01840-11EW</t>
  </si>
  <si>
    <t>B-E01840-11EW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</si>
  <si>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11EW</t>
  </si>
  <si>
    <t>E01840-11.5M</t>
  </si>
  <si>
    <t>B-E01840-11.5M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</si>
  <si>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11.5M</t>
  </si>
  <si>
    <t>E01840-11.5EW</t>
  </si>
  <si>
    <t>B-E01840-11.5EW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</si>
  <si>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11.5EW</t>
  </si>
  <si>
    <t>E01840-12M</t>
  </si>
  <si>
    <t>B-E01840-12M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</si>
  <si>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12M</t>
  </si>
  <si>
    <t>E01840-12EW</t>
  </si>
  <si>
    <t>B-E01840-12EW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</si>
  <si>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12EW</t>
  </si>
  <si>
    <t>E01840-13M</t>
  </si>
  <si>
    <t>B-E01840-13M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</si>
  <si>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13M</t>
  </si>
  <si>
    <t>E01840-13EW</t>
  </si>
  <si>
    <t>B-E01840-13EW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</si>
  <si>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13EW</t>
  </si>
  <si>
    <t>E01840-14M</t>
  </si>
  <si>
    <t>B-E01840-14M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</si>
  <si>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14M</t>
  </si>
  <si>
    <t>E01840-14EW</t>
  </si>
  <si>
    <t>B-E01840-14EW</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</si>
  <si>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14EW</t>
  </si>
  <si>
    <t>E01840-15M</t>
  </si>
  <si>
    <t>B-E01840-15M</t>
  </si>
  <si>
    <t>Bates Men's Sentry Oxford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15M</t>
  </si>
  <si>
    <t>E01842-7M</t>
  </si>
  <si>
    <t>B-E01842-7M</t>
  </si>
  <si>
    <t>BATES MEN'S SENTRY OXFORD HIGH GLOSS</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</si>
  <si>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7M</t>
  </si>
  <si>
    <t>E01842-7EW</t>
  </si>
  <si>
    <t>B-E01842-7EW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</si>
  <si>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7EW</t>
  </si>
  <si>
    <t>E01842-7.5M</t>
  </si>
  <si>
    <t>B-E01842-7.5M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</si>
  <si>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7.5M</t>
  </si>
  <si>
    <t>E01842-7.5EW</t>
  </si>
  <si>
    <t>B-E01842-7.5EW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</si>
  <si>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7.5EW</t>
  </si>
  <si>
    <t>E01842-8M</t>
  </si>
  <si>
    <t>B-E01842-8M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</si>
  <si>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8M</t>
  </si>
  <si>
    <t>E01842-8EW</t>
  </si>
  <si>
    <t>B-E01842-8EW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</si>
  <si>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8EW</t>
  </si>
  <si>
    <t>E01842-8.5M</t>
  </si>
  <si>
    <t>B-E01842-8.5M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</si>
  <si>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8.5M</t>
  </si>
  <si>
    <t>E01842-8.5EW</t>
  </si>
  <si>
    <t>B-E01842-8.5EW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</si>
  <si>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8.5EW</t>
  </si>
  <si>
    <t>E01842-9M</t>
  </si>
  <si>
    <t>B-E01842-9M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</si>
  <si>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9M</t>
  </si>
  <si>
    <t>E01842-9EW</t>
  </si>
  <si>
    <t>B-E01842-9EW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</si>
  <si>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9EW</t>
  </si>
  <si>
    <t>E01842-9.5M</t>
  </si>
  <si>
    <t>B-E01842-9.5M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</si>
  <si>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9.5M</t>
  </si>
  <si>
    <t>E01842-9.5EW</t>
  </si>
  <si>
    <t>B-E01842-9.5EW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</si>
  <si>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9.5EW</t>
  </si>
  <si>
    <t>E01842-10M</t>
  </si>
  <si>
    <t>B-E01842-10M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</si>
  <si>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10M</t>
  </si>
  <si>
    <t>E01842-10EW</t>
  </si>
  <si>
    <t>B-E01842-10EW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</si>
  <si>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10EW</t>
  </si>
  <si>
    <t>E01842-10.5M</t>
  </si>
  <si>
    <t>B-E01842-10.5M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</si>
  <si>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10.5M</t>
  </si>
  <si>
    <t>E01842-10.5EW</t>
  </si>
  <si>
    <t>B-E01842-10.5EW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</si>
  <si>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10.5EW</t>
  </si>
  <si>
    <t>E01842-11M</t>
  </si>
  <si>
    <t>B-E01842-11M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</si>
  <si>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11M</t>
  </si>
  <si>
    <t>E01842-11EW</t>
  </si>
  <si>
    <t>B-E01842-11EW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</si>
  <si>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11EW</t>
  </si>
  <si>
    <t>E01842-11.5M</t>
  </si>
  <si>
    <t>B-E01842-11.5M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</si>
  <si>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11.5M</t>
  </si>
  <si>
    <t>E01842-11.5EW</t>
  </si>
  <si>
    <t>B-E01842-11.5EW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</si>
  <si>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11.5EW</t>
  </si>
  <si>
    <t>E01842-12M</t>
  </si>
  <si>
    <t>B-E01842-12M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</si>
  <si>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12M</t>
  </si>
  <si>
    <t>E01842-12EW</t>
  </si>
  <si>
    <t>B-E01842-12EW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</si>
  <si>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12EW</t>
  </si>
  <si>
    <t>E01842-13M</t>
  </si>
  <si>
    <t>B-E01842-13M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</si>
  <si>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13M</t>
  </si>
  <si>
    <t>E01842-13EW</t>
  </si>
  <si>
    <t>B-E01842-13EW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</si>
  <si>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13EW</t>
  </si>
  <si>
    <t>E01842-14M</t>
  </si>
  <si>
    <t>B-E01842-14M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</si>
  <si>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14M</t>
  </si>
  <si>
    <t>E01842-14EW</t>
  </si>
  <si>
    <t>B-E01842-14EW</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</si>
  <si>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14EW</t>
  </si>
  <si>
    <t>E01842-15M</t>
  </si>
  <si>
    <t>B-E01842-15M</t>
  </si>
  <si>
    <t>Bates Men's Sentry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15M</t>
  </si>
  <si>
    <t>E02184-4M</t>
  </si>
  <si>
    <t>B-E02184-4M</t>
  </si>
  <si>
    <t>BATES MEN'S 11" PARATROOPER BOOT</t>
  </si>
  <si>
    <t>Bates Men's 11" Paratrooper Side Zip Boot,  Sandwhich mesh upper with TPU hotmelt leather overlays, Moisture wicking mesh lining, Removable Full Cushion low density PU molds to your foot footbed, CMEVA midsole,  Rubber Outsole, Cement Construction
Ideal For: Service/Duty
Size: 4M</t>
  </si>
  <si>
    <t>E02184-4.5M</t>
  </si>
  <si>
    <t>B-E02184-4.5M</t>
  </si>
  <si>
    <t>Bates Men's 11" Paratrooper Side Zip Boot,  Sandwhich mesh upper with TPU hotmelt leather overlays, Moisture wicking mesh lining, Removable Full Cushion low density PU molds to your foot footbed, CMEVA midsole,  Rubber Outsole, Cement Construction
Ideal For: Service/Duty
Size: 4.5M</t>
  </si>
  <si>
    <t>E02184-5M</t>
  </si>
  <si>
    <t>B-E02184-5M</t>
  </si>
  <si>
    <t>Bates Men's 11" Paratrooper Side Zip Boot,  Sandwhich mesh upper with TPU hotmelt leather overlays, Moisture wicking mesh lining, Removable Full Cushion low density PU molds to your foot footbed, CMEVA midsole,  Rubber Outsole, Cement Construction
Ideal For: Service/Duty
Size: 5M</t>
  </si>
  <si>
    <t>E02184-5.5M</t>
  </si>
  <si>
    <t>B-E02184-5.5M</t>
  </si>
  <si>
    <t>Bates Men's 11" Paratrooper Side Zip Boot,  Sandwhich mesh upper with TPU hotmelt leather overlays, Moisture wicking mesh lining, Removable Full Cushion low density PU molds to your foot footbed, CMEVA midsole,  Rubber Outsole, Cement Construction
Ideal For: Service/Duty
Size: 5.5M</t>
  </si>
  <si>
    <t>E02184-6M</t>
  </si>
  <si>
    <t>B-E02184-6M</t>
  </si>
  <si>
    <t>Bates Men's 11" Paratrooper Side Zip Boot,  Sandwhich mesh upper with TPU hotmelt leather overlays, Moisture wicking mesh lining, Removable Full Cushion low density PU molds to your foot footbed, CMEVA midsole,  Rubber Outsole, Cement Construction
Ideal For: Service/Duty
Size: 6M</t>
  </si>
  <si>
    <t>E02184-6.5M</t>
  </si>
  <si>
    <t>B-E02184-6.5M</t>
  </si>
  <si>
    <t>Bates Men's 11" Paratrooper Side Zip Boot,  Sandwhich mesh upper with TPU hotmelt leather overlays, Moisture wicking mesh lining, Removable Full Cushion low density PU molds to your foot footbed, CMEVA midsole,  Rubber Outsole, Cement Construction
Ideal For: Service/Duty
Size: 6.5M</t>
  </si>
  <si>
    <t>E02184-7M</t>
  </si>
  <si>
    <t>B-E02184-7M</t>
  </si>
  <si>
    <t>Bates Men's 11" Paratrooper Side Zip Boot,  Sandwhich mesh upper with TPU hotmelt leather overlays, Moisture wicking mesh lining, Removable Full Cushion low density PU molds to your foot footbed, CMEVA midsole,  Rubber Outsole, Cement Construction
Ideal For: Service/Duty
Size: 7M</t>
  </si>
  <si>
    <t>E02184-7W</t>
  </si>
  <si>
    <t>B-E02184-7W</t>
  </si>
  <si>
    <t>Bates Men's 11" Paratrooper Side Zip Boot,  Sandwhich mesh upper with TPU hotmelt leather overlays, Moisture wicking mesh lining, Removable Full Cushion low density PU molds to your foot footbed, CMEVA midsole,  Rubber Outsole, Cement Construction
Ideal For: Service/Duty
Size: 7W</t>
  </si>
  <si>
    <t>E02184-7.5M</t>
  </si>
  <si>
    <t>B-E02184-7.5M</t>
  </si>
  <si>
    <t>Bates Men's 11" Paratrooper Side Zip Boot,  Sandwhich mesh upper with TPU hotmelt leather overlays, Moisture wicking mesh lining, Removable Full Cushion low density PU molds to your foot footbed, CMEVA midsole,  Rubber Outsole, Cement Construction
Ideal For: Service/Duty
Size: 7.5M</t>
  </si>
  <si>
    <t>E02184-7.5W</t>
  </si>
  <si>
    <t>B-E02184-7.5W</t>
  </si>
  <si>
    <t>Bates Men's 11" Paratrooper Side Zip Boot,  Sandwhich mesh upper with TPU hotmelt leather overlays, Moisture wicking mesh lining, Removable Full Cushion low density PU molds to your foot footbed, CMEVA midsole,  Rubber Outsole, Cement Construction
Ideal For: Service/Duty
Size: 7.5W</t>
  </si>
  <si>
    <t>E02184-8M</t>
  </si>
  <si>
    <t>B-E02184-8M</t>
  </si>
  <si>
    <t>Bates Men's 11" Paratrooper Side Zip Boot,  Sandwhich mesh upper with TPU hotmelt leather overlays, Moisture wicking mesh lining, Removable Full Cushion low density PU molds to your foot footbed, CMEVA midsole,  Rubber Outsole, Cement Construction
Ideal For: Service/Duty
Size: 8M</t>
  </si>
  <si>
    <t>E02184-8W</t>
  </si>
  <si>
    <t>B-E02184-8W</t>
  </si>
  <si>
    <t>Bates Men's 11" Paratrooper Side Zip Boot,  Sandwhich mesh upper with TPU hotmelt leather overlays, Moisture wicking mesh lining, Removable Full Cushion low density PU molds to your foot footbed, CMEVA midsole,  Rubber Outsole, Cement Construction
Ideal For: Service/Duty
Size: 8W</t>
  </si>
  <si>
    <t>E02184-8.5M</t>
  </si>
  <si>
    <t>B-E02184-8.5M</t>
  </si>
  <si>
    <t>Bates Men's 11" Paratrooper Side Zip Boot,  Sandwhich mesh upper with TPU hotmelt leather overlays, Moisture wicking mesh lining, Removable Full Cushion low density PU molds to your foot footbed, CMEVA midsole,  Rubber Outsole, Cement Construction
Ideal For: Service/Duty
Size: 8.5M</t>
  </si>
  <si>
    <t>E02184-8.5W</t>
  </si>
  <si>
    <t>B-E02184-8.5W</t>
  </si>
  <si>
    <t>Bates Men's 11" Paratrooper Side Zip Boot,  Sandwhich mesh upper with TPU hotmelt leather overlays, Moisture wicking mesh lining, Removable Full Cushion low density PU molds to your foot footbed, CMEVA midsole,  Rubber Outsole, Cement Construction
Ideal For: Service/Duty
Size: 8.5W</t>
  </si>
  <si>
    <t>E02184-9M</t>
  </si>
  <si>
    <t>B-E02184-9M</t>
  </si>
  <si>
    <t>Bates Men's 11" Paratrooper Side Zip Boot,  Sandwhich mesh upper with TPU hotmelt leather overlays, Moisture wicking mesh lining, Removable Full Cushion low density PU molds to your foot footbed, CMEVA midsole,  Rubber Outsole, Cement Construction
Ideal For: Service/Duty
Size: 9M</t>
  </si>
  <si>
    <t>E02184-9W</t>
  </si>
  <si>
    <t>B-E02184-9W</t>
  </si>
  <si>
    <t>Bates Men's 11" Paratrooper Side Zip Boot,  Sandwhich mesh upper with TPU hotmelt leather overlays, Moisture wicking mesh lining, Removable Full Cushion low density PU molds to your foot footbed, CMEVA midsole,  Rubber Outsole, Cement Construction
Ideal For: Service/Duty
Size: 9W</t>
  </si>
  <si>
    <t>E02184-9.5M</t>
  </si>
  <si>
    <t>B-E02184-9.5M</t>
  </si>
  <si>
    <t>Bates Men's 11" Paratrooper Side Zip Boot,  Sandwhich mesh upper with TPU hotmelt leather overlays, Moisture wicking mesh lining, Removable Full Cushion low density PU molds to your foot footbed, CMEVA midsole,  Rubber Outsole, Cement Construction
Ideal For: Service/Duty
Size: 9.5M</t>
  </si>
  <si>
    <t>E02184-9.5W</t>
  </si>
  <si>
    <t>B-E02184-9.5W</t>
  </si>
  <si>
    <t>Bates Men's 11" Paratrooper Side Zip Boot,  Sandwhich mesh upper with TPU hotmelt leather overlays, Moisture wicking mesh lining, Removable Full Cushion low density PU molds to your foot footbed, CMEVA midsole,  Rubber Outsole, Cement Construction
Ideal For: Service/Duty
Size: 9.5W</t>
  </si>
  <si>
    <t>E02184-10M</t>
  </si>
  <si>
    <t>B-E02184-10M</t>
  </si>
  <si>
    <t>Bates Men's 11" Paratrooper Side Zip Boot,  Sandwhich mesh upper with TPU hotmelt leather overlays, Moisture wicking mesh lining, Removable Full Cushion low density PU molds to your foot footbed, CMEVA midsole,  Rubber Outsole, Cement Construction
Ideal For: Service/Duty
Size: 10M</t>
  </si>
  <si>
    <t>E02184-10W</t>
  </si>
  <si>
    <t>B-E02184-10W</t>
  </si>
  <si>
    <t>Bates Men's 11" Paratrooper Side Zip Boot,  Sandwhich mesh upper with TPU hotmelt leather overlays, Moisture wicking mesh lining, Removable Full Cushion low density PU molds to your foot footbed, CMEVA midsole,  Rubber Outsole, Cement Construction
Ideal For: Service/Duty
Size: 10W</t>
  </si>
  <si>
    <t>E02184-10.5M</t>
  </si>
  <si>
    <t>B-E02184-10.5M</t>
  </si>
  <si>
    <t>Bates Men's 11" Paratrooper Side Zip Boot,  Sandwhich mesh upper with TPU hotmelt leather overlays, Moisture wicking mesh lining, Removable Full Cushion low density PU molds to your foot footbed, CMEVA midsole,  Rubber Outsole, Cement Construction
Ideal For: Service/Duty
Size: 10.5M</t>
  </si>
  <si>
    <t>E02184-10.5W</t>
  </si>
  <si>
    <t>B-E02184-10.5W</t>
  </si>
  <si>
    <t>Bates Men's 11" Paratrooper Side Zip Boot,  Sandwhich mesh upper with TPU hotmelt leather overlays, Moisture wicking mesh lining, Removable Full Cushion low density PU molds to your foot footbed, CMEVA midsole,  Rubber Outsole, Cement Construction
Ideal For: Service/Duty
Size: 10.5W</t>
  </si>
  <si>
    <t>E02184-11M</t>
  </si>
  <si>
    <t>B-E02184-11M</t>
  </si>
  <si>
    <t>Bates Men's 11" Paratrooper Side Zip Boot,  Sandwhich mesh upper with TPU hotmelt leather overlays, Moisture wicking mesh lining, Removable Full Cushion low density PU molds to your foot footbed, CMEVA midsole,  Rubber Outsole, Cement Construction
Ideal For: Service/Duty
Size: 11M</t>
  </si>
  <si>
    <t>E02184-11W</t>
  </si>
  <si>
    <t>B-E02184-11W</t>
  </si>
  <si>
    <t>Bates Men's 11" Paratrooper Side Zip Boot,  Sandwhich mesh upper with TPU hotmelt leather overlays, Moisture wicking mesh lining, Removable Full Cushion low density PU molds to your foot footbed, CMEVA midsole,  Rubber Outsole, Cement Construction
Ideal For: Service/Duty
Size: 11W</t>
  </si>
  <si>
    <t>E02184-11.5M</t>
  </si>
  <si>
    <t>B-E02184-11.5M</t>
  </si>
  <si>
    <t>Bates Men's 11" Paratrooper Side Zip Boot,  Sandwhich mesh upper with TPU hotmelt leather overlays, Moisture wicking mesh lining, Removable Full Cushion low density PU molds to your foot footbed, CMEVA midsole,  Rubber Outsole, Cement Construction
Ideal For: Service/Duty
Size: 11.5M</t>
  </si>
  <si>
    <t>E02184-11.5W</t>
  </si>
  <si>
    <t>B-E02184-11.5W</t>
  </si>
  <si>
    <t>Bates Men's 11" Paratrooper Side Zip Boot,  Sandwhich mesh upper with TPU hotmelt leather overlays, Moisture wicking mesh lining, Removable Full Cushion low density PU molds to your foot footbed, CMEVA midsole,  Rubber Outsole, Cement Construction
Ideal For: Service/Duty
Size: 11.5W</t>
  </si>
  <si>
    <t>E02184-12M</t>
  </si>
  <si>
    <t>B-E02184-12M</t>
  </si>
  <si>
    <t>Bates Men's 11" Paratrooper Side Zip Boot,  Sandwhich mesh upper with TPU hotmelt leather overlays, Moisture wicking mesh lining, Removable Full Cushion low density PU molds to your foot footbed, CMEVA midsole,  Rubber Outsole, Cement Construction
Ideal For: Service/Duty
Size: 12M</t>
  </si>
  <si>
    <t>E02184-12W</t>
  </si>
  <si>
    <t>B-E02184-12W</t>
  </si>
  <si>
    <t>Bates Men's 11" Paratrooper Side Zip Boot,  Sandwhich mesh upper with TPU hotmelt leather overlays, Moisture wicking mesh lining, Removable Full Cushion low density PU molds to your foot footbed, CMEVA midsole,  Rubber Outsole, Cement Construction
Ideal For: Service/Duty
Size: 12W</t>
  </si>
  <si>
    <t>E02184-13M</t>
  </si>
  <si>
    <t>B-E02184-13M</t>
  </si>
  <si>
    <t>Bates Men's 11" Paratrooper Side Zip Boot,  Sandwhich mesh upper with TPU hotmelt leather overlays, Moisture wicking mesh lining, Removable Full Cushion low density PU molds to your foot footbed, CMEVA midsole,  Rubber Outsole, Cement Construction
Ideal For: Service/Duty
Size: 13M</t>
  </si>
  <si>
    <t>E02184-13W</t>
  </si>
  <si>
    <t>B-E02184-13W</t>
  </si>
  <si>
    <t>Bates Men's 11" Paratrooper Side Zip Boot,  Sandwhich mesh upper with TPU hotmelt leather overlays, Moisture wicking mesh lining, Removable Full Cushion low density PU molds to your foot footbed, CMEVA midsole,  Rubber Outsole, Cement Construction
Ideal For: Service/Duty
Size: 13W</t>
  </si>
  <si>
    <t>E02184-14M</t>
  </si>
  <si>
    <t>B-E02184-14M</t>
  </si>
  <si>
    <t>Bates Men's 11" Paratrooper Side Zip Boot,  Sandwhich mesh upper with TPU hotmelt leather overlays, Moisture wicking mesh lining, Removable Full Cushion low density PU molds to your foot footbed, CMEVA midsole,  Rubber Outsole, Cement Construction
Ideal For: Service/Duty
Size: 14M</t>
  </si>
  <si>
    <t>E02184-14W</t>
  </si>
  <si>
    <t>B-E02184-14W</t>
  </si>
  <si>
    <t>Bates Men's 11" Paratrooper Side Zip Boot,  Sandwhich mesh upper with TPU hotmelt leather overlays, Moisture wicking mesh lining, Removable Full Cushion low density PU molds to your foot footbed, CMEVA midsole,  Rubber Outsole, Cement Construction
Ideal For: Service/Duty
Size: 14W</t>
  </si>
  <si>
    <t>E02184-15M</t>
  </si>
  <si>
    <t>B-E02184-15M</t>
  </si>
  <si>
    <t>Bates Men's 11" Paratrooper Side Zip Boot,  Sandwhich mesh upper with TPU hotmelt leather overlays, Moisture wicking mesh lining, Removable Full Cushion low density PU molds to your foot footbed, CMEVA midsole,  Rubber Outsole, Cement Construction
Ideal For: Service/Duty
Size: 15M</t>
  </si>
  <si>
    <t>E02184-15W</t>
  </si>
  <si>
    <t>B-E02184-15W</t>
  </si>
  <si>
    <t>Bates Men's 11" Paratrooper Side Zip Boot,  Sandwhich mesh upper with TPU hotmelt leather overlays, Moisture wicking mesh lining, Removable Full Cushion low density PU molds to your foot footbed, CMEVA midsole,  Rubber Outsole, Cement Construction
Ideal For: Service/Duty
Size: 15W</t>
  </si>
  <si>
    <t>E02248-7M</t>
  </si>
  <si>
    <t>B-E02248-7M</t>
  </si>
  <si>
    <t>BATES MEN'S RUSH 2 FX TALL BOOT</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</si>
  <si>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7M</t>
  </si>
  <si>
    <t>KH</t>
  </si>
  <si>
    <t>E02248-7EW</t>
  </si>
  <si>
    <t>B-E02248-7EW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</si>
  <si>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7EW</t>
  </si>
  <si>
    <t>E02248-7.5M</t>
  </si>
  <si>
    <t>B-E02248-7.5M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</si>
  <si>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7.5M</t>
  </si>
  <si>
    <t>E02248-7.5EW</t>
  </si>
  <si>
    <t>B-E02248-7.5EW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</si>
  <si>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7.5EW</t>
  </si>
  <si>
    <t>E02248-8M</t>
  </si>
  <si>
    <t>B-E02248-8M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</si>
  <si>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8M</t>
  </si>
  <si>
    <t>E02248-8EW</t>
  </si>
  <si>
    <t>B-E02248-8EW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</si>
  <si>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8EW</t>
  </si>
  <si>
    <t>E02248-8.5M</t>
  </si>
  <si>
    <t>B-E02248-8.5M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</si>
  <si>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8.5M</t>
  </si>
  <si>
    <t>E02248-8.5EW</t>
  </si>
  <si>
    <t>B-E02248-8.5EW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</si>
  <si>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8.5EW</t>
  </si>
  <si>
    <t>E02248-9M</t>
  </si>
  <si>
    <t>B-E02248-9M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</si>
  <si>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9M</t>
  </si>
  <si>
    <t>E02248-9EW</t>
  </si>
  <si>
    <t>B-E02248-9EW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</si>
  <si>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9EW</t>
  </si>
  <si>
    <t>E02248-9.5M</t>
  </si>
  <si>
    <t>B-E02248-9.5M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</si>
  <si>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9.5M</t>
  </si>
  <si>
    <t>E02248-9.5EW</t>
  </si>
  <si>
    <t>B-E02248-9.5EW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</si>
  <si>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9.5EW</t>
  </si>
  <si>
    <t>E02248-10M</t>
  </si>
  <si>
    <t>B-E02248-10M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</si>
  <si>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10M</t>
  </si>
  <si>
    <t>E02248-10EW</t>
  </si>
  <si>
    <t>B-E02248-10EW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</si>
  <si>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10EW</t>
  </si>
  <si>
    <t>E02248-10.5M</t>
  </si>
  <si>
    <t>B-E02248-10.5M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</si>
  <si>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10.5M</t>
  </si>
  <si>
    <t>E02248-10.5EW</t>
  </si>
  <si>
    <t>B-E02248-10.5EW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</si>
  <si>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10.5EW</t>
  </si>
  <si>
    <t>E02248-11M</t>
  </si>
  <si>
    <t>B-E02248-11M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</si>
  <si>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11M</t>
  </si>
  <si>
    <t>E02248-11EW</t>
  </si>
  <si>
    <t>B-E02248-11EW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</si>
  <si>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11EW</t>
  </si>
  <si>
    <t>E02248-11.5M</t>
  </si>
  <si>
    <t>B-E02248-11.5M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</si>
  <si>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11.5M</t>
  </si>
  <si>
    <t>E02248-11.5EW</t>
  </si>
  <si>
    <t>B-E02248-11.5EW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</si>
  <si>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11.5EW</t>
  </si>
  <si>
    <t>E02248-12M</t>
  </si>
  <si>
    <t>B-E02248-12M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</si>
  <si>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12M</t>
  </si>
  <si>
    <t>E02248-12EW</t>
  </si>
  <si>
    <t>B-E02248-12EW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</si>
  <si>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12EW</t>
  </si>
  <si>
    <t>E02248-13M</t>
  </si>
  <si>
    <t>B-E02248-13M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</si>
  <si>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13M</t>
  </si>
  <si>
    <t>E02248-13EW</t>
  </si>
  <si>
    <t>B-E02248-13EW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</si>
  <si>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13EW</t>
  </si>
  <si>
    <t>E02248-14M</t>
  </si>
  <si>
    <t>B-E02248-14M</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</si>
  <si>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14M</t>
  </si>
  <si>
    <t>E02248-14EW</t>
  </si>
  <si>
    <t>B-E02248-14EW</t>
  </si>
  <si>
    <t>Bates Men's Rush 2 FX Tall Boot,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Size: 14EW</t>
  </si>
  <si>
    <t>E02276-4M</t>
  </si>
  <si>
    <t>B-E02276-4M</t>
  </si>
  <si>
    <t>BATES MEN'S GX-8 BOOT - DESERT</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</si>
  <si>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4M</t>
  </si>
  <si>
    <t>E02276-4.5M</t>
  </si>
  <si>
    <t>B-E02276-4.5M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</si>
  <si>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4.5M</t>
  </si>
  <si>
    <t>E02276-5M</t>
  </si>
  <si>
    <t>B-E02276-5M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</si>
  <si>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5M</t>
  </si>
  <si>
    <t>E02276-5.5M</t>
  </si>
  <si>
    <t>B-E02276-5.5M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</si>
  <si>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5.5M</t>
  </si>
  <si>
    <t>E02276-6M</t>
  </si>
  <si>
    <t>B-E02276-6M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</si>
  <si>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6M</t>
  </si>
  <si>
    <t>E02276-6.5M</t>
  </si>
  <si>
    <t>B-E02276-6.5M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</si>
  <si>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6.5M</t>
  </si>
  <si>
    <t>E02276-7M</t>
  </si>
  <si>
    <t>B-E02276-7M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</si>
  <si>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7M</t>
  </si>
  <si>
    <t>E02276-7EW</t>
  </si>
  <si>
    <t>B-E02276-7EW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</si>
  <si>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7EW</t>
  </si>
  <si>
    <t>E02276-7.5M</t>
  </si>
  <si>
    <t>B-E02276-7.5M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</si>
  <si>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7.5M</t>
  </si>
  <si>
    <t>E02276-7.5EW</t>
  </si>
  <si>
    <t>B-E02276-7.5EW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</si>
  <si>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7.5EW</t>
  </si>
  <si>
    <t>E02276-8M</t>
  </si>
  <si>
    <t>B-E02276-8M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</si>
  <si>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8M</t>
  </si>
  <si>
    <t>E02276-8EW</t>
  </si>
  <si>
    <t>B-E02276-8EW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</si>
  <si>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8EW</t>
  </si>
  <si>
    <t>E02276-8.5M</t>
  </si>
  <si>
    <t>B-E02276-8.5M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</si>
  <si>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8.5M</t>
  </si>
  <si>
    <t>E02276-8.5EW</t>
  </si>
  <si>
    <t>B-E02276-8.5EW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</si>
  <si>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8.5EW</t>
  </si>
  <si>
    <t>E02276-9M</t>
  </si>
  <si>
    <t>B-E02276-9M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</si>
  <si>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9M</t>
  </si>
  <si>
    <t>E02276-9EW</t>
  </si>
  <si>
    <t>B-E02276-9EW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</si>
  <si>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9EW</t>
  </si>
  <si>
    <t>E02276-9.5M</t>
  </si>
  <si>
    <t>B-E02276-9.5M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</si>
  <si>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9.5M</t>
  </si>
  <si>
    <t>E02276-9.5EW</t>
  </si>
  <si>
    <t>B-E02276-9.5EW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</si>
  <si>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9.5EW</t>
  </si>
  <si>
    <t>E02276-10M</t>
  </si>
  <si>
    <t>B-E02276-10M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</si>
  <si>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10M</t>
  </si>
  <si>
    <t>E02276-10EW</t>
  </si>
  <si>
    <t>B-E02276-10EW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</si>
  <si>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10EW</t>
  </si>
  <si>
    <t>E02276-10.5M</t>
  </si>
  <si>
    <t>B-E02276-10.5M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</si>
  <si>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10.5M</t>
  </si>
  <si>
    <t>E02276-10.5EW</t>
  </si>
  <si>
    <t>B-E02276-10.5EW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</si>
  <si>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10.5EW</t>
  </si>
  <si>
    <t>E02276-11M</t>
  </si>
  <si>
    <t>B-E02276-11M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</si>
  <si>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11M</t>
  </si>
  <si>
    <t>E02276-11EW</t>
  </si>
  <si>
    <t>B-E02276-11EW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</si>
  <si>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11EW</t>
  </si>
  <si>
    <t>E02276-11.5M</t>
  </si>
  <si>
    <t>B-E02276-11.5M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</si>
  <si>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11.5M</t>
  </si>
  <si>
    <t>E02276-11.5EW</t>
  </si>
  <si>
    <t>B-E02276-11.5EW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</si>
  <si>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11.5EW</t>
  </si>
  <si>
    <t>E02276-12M</t>
  </si>
  <si>
    <t>B-E02276-12M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</si>
  <si>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12M</t>
  </si>
  <si>
    <t>E02276-12EW</t>
  </si>
  <si>
    <t>B-E02276-12EW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</si>
  <si>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12EW</t>
  </si>
  <si>
    <t>E02276-13M</t>
  </si>
  <si>
    <t>B-E02276-13M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</si>
  <si>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13M</t>
  </si>
  <si>
    <t>E02276-13EW</t>
  </si>
  <si>
    <t>B-E02276-13EW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</si>
  <si>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13EW</t>
  </si>
  <si>
    <t>E02276-14M</t>
  </si>
  <si>
    <t>B-E02276-14M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</si>
  <si>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14M</t>
  </si>
  <si>
    <t>E02276-14EW</t>
  </si>
  <si>
    <t>B-E02276-14EW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</si>
  <si>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14EW</t>
  </si>
  <si>
    <t>E02276-15M</t>
  </si>
  <si>
    <t>B-E02276-15M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</si>
  <si>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15M</t>
  </si>
  <si>
    <t>E02276-15EW</t>
  </si>
  <si>
    <t>B-E02276-15EW</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</si>
  <si>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15EW</t>
  </si>
  <si>
    <t>E02276-16M</t>
  </si>
  <si>
    <t>B-E02276-16M</t>
  </si>
  <si>
    <t>Bates Men's GX-8 Boot, Desert, Made with Wolverine Warrior Leather®, this boot is oil, stain and abrasion resistant,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Side zipper for easy on and off, Contoured padded collar provides added ﬂexibility and ankle protection
Ideal For:
Size: 16M</t>
  </si>
  <si>
    <t>E02277-7M</t>
  </si>
  <si>
    <t>B-E02277-7M</t>
  </si>
  <si>
    <t>BATES MEN'S RUSH 2 FX BOOT- COYOTE</t>
  </si>
  <si>
    <t>Bates Men's Rush 2 FX Boot, Coyote, Sandwhich mesh upper with TPU hotmelt leather overlays, Moisture wicking mesh lining, Removable Full Cushion low density PU molds to your foot footbed, CMEVA midsole, Rubber Outsole, Cement Construction
Ideal for: Service/DutySize: 7M</t>
  </si>
  <si>
    <t>E02277-7EW</t>
  </si>
  <si>
    <t>B-E02277-7EW</t>
  </si>
  <si>
    <t>Bates Men's Rush 2 FX Boot, Coyote, Sandwhich mesh upper with TPU hotmelt leather overlays, Moisture wicking mesh lining, Removable Full Cushion low density PU molds to your foot footbed, CMEVA midsole, Rubber Outsole, Cement Construction
Ideal for: Service/DutySize: 7EW</t>
  </si>
  <si>
    <t>E02277-7.5M</t>
  </si>
  <si>
    <t>B-E02277-7.5M</t>
  </si>
  <si>
    <t>Bates Men's Rush 2 FX Boot, Coyote, Sandwhich mesh upper with TPU hotmelt leather overlays, Moisture wicking mesh lining, Removable Full Cushion low density PU molds to your foot footbed, CMEVA midsole, Rubber Outsole, Cement Construction
Ideal for: Service/DutySize: 7.5M</t>
  </si>
  <si>
    <t>E02277-7.5EW</t>
  </si>
  <si>
    <t>B-E02277-7.5EW</t>
  </si>
  <si>
    <t>Bates Men's Rush 2 FX Boot, Coyote, Sandwhich mesh upper with TPU hotmelt leather overlays, Moisture wicking mesh lining, Removable Full Cushion low density PU molds to your foot footbed, CMEVA midsole, Rubber Outsole, Cement Construction
Ideal for: Service/DutySize: 7.5EW</t>
  </si>
  <si>
    <t>E02277-8M</t>
  </si>
  <si>
    <t>B-E02277-8M</t>
  </si>
  <si>
    <t>Bates Men's Rush 2 FX Boot, Coyote, Sandwhich mesh upper with TPU hotmelt leather overlays, Moisture wicking mesh lining, Removable Full Cushion low density PU molds to your foot footbed, CMEVA midsole, Rubber Outsole, Cement Construction
Ideal for: Service/DutySize: 8M</t>
  </si>
  <si>
    <t>E02277-8EW</t>
  </si>
  <si>
    <t>B-E02277-8EW</t>
  </si>
  <si>
    <t>Bates Men's Rush 2 FX Boot, Coyote, Sandwhich mesh upper with TPU hotmelt leather overlays, Moisture wicking mesh lining, Removable Full Cushion low density PU molds to your foot footbed, CMEVA midsole, Rubber Outsole, Cement Construction
Ideal for: Service/DutySize: 8EW</t>
  </si>
  <si>
    <t>E02277-8.5M</t>
  </si>
  <si>
    <t>B-E02277-8.5M</t>
  </si>
  <si>
    <t>Bates Men's Rush 2 FX Boot, Coyote, Sandwhich mesh upper with TPU hotmelt leather overlays, Moisture wicking mesh lining, Removable Full Cushion low density PU molds to your foot footbed, CMEVA midsole, Rubber Outsole, Cement Construction
Ideal for: Service/DutySize: 8.5M</t>
  </si>
  <si>
    <t>E02277-8.5EW</t>
  </si>
  <si>
    <t>B-E02277-8.5EW</t>
  </si>
  <si>
    <t>Bates Men's Rush 2 FX Boot, Coyote, Sandwhich mesh upper with TPU hotmelt leather overlays, Moisture wicking mesh lining, Removable Full Cushion low density PU molds to your foot footbed, CMEVA midsole, Rubber Outsole, Cement Construction
Ideal for: Service/DutySize: 8.5EW</t>
  </si>
  <si>
    <t>E02277-9M</t>
  </si>
  <si>
    <t>B-E02277-9M</t>
  </si>
  <si>
    <t>Bates Men's Rush 2 FX Boot, Coyote, Sandwhich mesh upper with TPU hotmelt leather overlays, Moisture wicking mesh lining, Removable Full Cushion low density PU molds to your foot footbed, CMEVA midsole, Rubber Outsole, Cement Construction
Ideal for: Service/DutySize: 9M</t>
  </si>
  <si>
    <t>E02277-9EW</t>
  </si>
  <si>
    <t>B-E02277-9EW</t>
  </si>
  <si>
    <t>Bates Men's Rush 2 FX Boot, Coyote, Sandwhich mesh upper with TPU hotmelt leather overlays, Moisture wicking mesh lining, Removable Full Cushion low density PU molds to your foot footbed, CMEVA midsole, Rubber Outsole, Cement Construction
Ideal for: Service/DutySize: 9EW</t>
  </si>
  <si>
    <t>E02277-9.5M</t>
  </si>
  <si>
    <t>B-E02277-9.5M</t>
  </si>
  <si>
    <t>Bates Men's Rush 2 FX Boot, Coyote, Sandwhich mesh upper with TPU hotmelt leather overlays, Moisture wicking mesh lining, Removable Full Cushion low density PU molds to your foot footbed, CMEVA midsole, Rubber Outsole, Cement Construction
Ideal for: Service/DutySize: 9.5M</t>
  </si>
  <si>
    <t>E02277-9.5EW</t>
  </si>
  <si>
    <t>B-E02277-9.5EW</t>
  </si>
  <si>
    <t>Bates Men's Rush 2 FX Boot, Coyote, Sandwhich mesh upper with TPU hotmelt leather overlays, Moisture wicking mesh lining, Removable Full Cushion low density PU molds to your foot footbed, CMEVA midsole, Rubber Outsole, Cement Construction
Ideal for: Service/DutySize: 9.5EW</t>
  </si>
  <si>
    <t>E02277-10M</t>
  </si>
  <si>
    <t>B-E02277-10M</t>
  </si>
  <si>
    <t>Bates Men's Rush 2 FX Boot, Coyote, Sandwhich mesh upper with TPU hotmelt leather overlays, Moisture wicking mesh lining, Removable Full Cushion low density PU molds to your foot footbed, CMEVA midsole, Rubber Outsole, Cement Construction
Ideal for: Service/DutySize: 10M</t>
  </si>
  <si>
    <t>E02277-10EW</t>
  </si>
  <si>
    <t>B-E02277-10EW</t>
  </si>
  <si>
    <t>Bates Men's Rush 2 FX Boot, Coyote, Sandwhich mesh upper with TPU hotmelt leather overlays, Moisture wicking mesh lining, Removable Full Cushion low density PU molds to your foot footbed, CMEVA midsole, Rubber Outsole, Cement Construction
Ideal for: Service/DutySize: 10EW</t>
  </si>
  <si>
    <t>E02277-10.5M</t>
  </si>
  <si>
    <t>B-E02277-10.5M</t>
  </si>
  <si>
    <t>Bates Men's Rush 2 FX Boot, Coyote, Sandwhich mesh upper with TPU hotmelt leather overlays, Moisture wicking mesh lining, Removable Full Cushion low density PU molds to your foot footbed, CMEVA midsole, Rubber Outsole, Cement Construction
Ideal for: Service/DutySize: 10.5M</t>
  </si>
  <si>
    <t>E02277-10.5EW</t>
  </si>
  <si>
    <t>B-E02277-10.5EW</t>
  </si>
  <si>
    <t>Bates Men's Rush 2 FX Boot, Coyote, Sandwhich mesh upper with TPU hotmelt leather overlays, Moisture wicking mesh lining, Removable Full Cushion low density PU molds to your foot footbed, CMEVA midsole, Rubber Outsole, Cement Construction
Ideal for: Service/DutySize: 10.5EW</t>
  </si>
  <si>
    <t>E02277-11M</t>
  </si>
  <si>
    <t>B-E02277-11M</t>
  </si>
  <si>
    <t>Bates Men's Rush 2 FX Boot, Coyote, Sandwhich mesh upper with TPU hotmelt leather overlays, Moisture wicking mesh lining, Removable Full Cushion low density PU molds to your foot footbed, CMEVA midsole, Rubber Outsole, Cement Construction
Ideal for: Service/DutySize: 11M</t>
  </si>
  <si>
    <t>E02277-11EW</t>
  </si>
  <si>
    <t>B-E02277-11EW</t>
  </si>
  <si>
    <t>Bates Men's Rush 2 FX Boot, Coyote, Sandwhich mesh upper with TPU hotmelt leather overlays, Moisture wicking mesh lining, Removable Full Cushion low density PU molds to your foot footbed, CMEVA midsole, Rubber Outsole, Cement Construction
Ideal for: Service/DutySize: 11EW</t>
  </si>
  <si>
    <t>E02277-11.5M</t>
  </si>
  <si>
    <t>B-E02277-11.5M</t>
  </si>
  <si>
    <t>Bates Men's Rush 2 FX Boot, Coyote, Sandwhich mesh upper with TPU hotmelt leather overlays, Moisture wicking mesh lining, Removable Full Cushion low density PU molds to your foot footbed, CMEVA midsole, Rubber Outsole, Cement Construction
Ideal for: Service/DutySize: 11.5M</t>
  </si>
  <si>
    <t>E02277-11.5EW</t>
  </si>
  <si>
    <t>B-E02277-11.5EW</t>
  </si>
  <si>
    <t>Bates Men's Rush 2 FX Boot, Coyote, Sandwhich mesh upper with TPU hotmelt leather overlays, Moisture wicking mesh lining, Removable Full Cushion low density PU molds to your foot footbed, CMEVA midsole, Rubber Outsole, Cement Construction
Ideal for: Service/DutySize: 11.5EW</t>
  </si>
  <si>
    <t>E02277-12M</t>
  </si>
  <si>
    <t>B-E02277-12M</t>
  </si>
  <si>
    <t>Bates Men's Rush 2 FX Boot, Coyote, Sandwhich mesh upper with TPU hotmelt leather overlays, Moisture wicking mesh lining, Removable Full Cushion low density PU molds to your foot footbed, CMEVA midsole, Rubber Outsole, Cement Construction
Ideal for: Service/DutySize: 12M</t>
  </si>
  <si>
    <t>E02277-12EW</t>
  </si>
  <si>
    <t>B-E02277-12EW</t>
  </si>
  <si>
    <t>Bates Men's Rush 2 FX Boot, Coyote, Sandwhich mesh upper with TPU hotmelt leather overlays, Moisture wicking mesh lining, Removable Full Cushion low density PU molds to your foot footbed, CMEVA midsole, Rubber Outsole, Cement Construction
Ideal for: Service/DutySize: 12EW</t>
  </si>
  <si>
    <t>E02277-13M</t>
  </si>
  <si>
    <t>B-E02277-13M</t>
  </si>
  <si>
    <t>Bates Men's Rush 2 FX Boot, Coyote, Sandwhich mesh upper with TPU hotmelt leather overlays, Moisture wicking mesh lining, Removable Full Cushion low density PU molds to your foot footbed, CMEVA midsole, Rubber Outsole, Cement Construction
Ideal for: Service/DutySize: 13M</t>
  </si>
  <si>
    <t>E02277-13EW</t>
  </si>
  <si>
    <t>B-E02277-13EW</t>
  </si>
  <si>
    <t>Bates Men's Rush 2 FX Boot, Coyote, Sandwhich mesh upper with TPU hotmelt leather overlays, Moisture wicking mesh lining, Removable Full Cushion low density PU molds to your foot footbed, CMEVA midsole, Rubber Outsole, Cement Construction
Ideal for: Service/DutySize: 13EW</t>
  </si>
  <si>
    <t>E02277-14M</t>
  </si>
  <si>
    <t>B-E02277-14M</t>
  </si>
  <si>
    <t>Bates Men's Rush 2 FX Boot, Coyote, Sandwhich mesh upper with TPU hotmelt leather overlays, Moisture wicking mesh lining, Removable Full Cushion low density PU molds to your foot footbed, CMEVA midsole, Rubber Outsole, Cement Construction
Ideal for: Service/DutySize: 14M</t>
  </si>
  <si>
    <t>E02277-14EW</t>
  </si>
  <si>
    <t>B-E02277-14EW</t>
  </si>
  <si>
    <t>Bates Men's Rush 2 FX Boot, Coyote, Sandwhich mesh upper with TPU hotmelt leather overlays, Moisture wicking mesh lining, Removable Full Cushion low density PU molds to your foot footbed, CMEVA midsole, Rubber Outsole, Cement Construction
Ideal for: Service/DutySize: 14EW</t>
  </si>
  <si>
    <t>E02277-15M</t>
  </si>
  <si>
    <t>B-E02277-15M</t>
  </si>
  <si>
    <t>Bates Men's Rush 2 FX Boot, Coyote, Sandwhich mesh upper with TPU hotmelt leather overlays, Moisture wicking mesh lining, Removable Full Cushion low density PU molds to your foot footbed, CMEVA midsole, Rubber Outsole, Cement Construction
Ideal for: Service/DutySize: 15M</t>
  </si>
  <si>
    <t>E02278-7M</t>
  </si>
  <si>
    <t>B-E02278-7M</t>
  </si>
  <si>
    <t>BATES MEN'S RUSH 2 FX BOOT</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</si>
  <si>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7M</t>
  </si>
  <si>
    <t>E02278-7EW</t>
  </si>
  <si>
    <t>B-E02278-7EW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</si>
  <si>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7EW</t>
  </si>
  <si>
    <t>E02278-7.5M</t>
  </si>
  <si>
    <t>B-E02278-7.5M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</si>
  <si>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7.5M</t>
  </si>
  <si>
    <t>E02278-7.5EW</t>
  </si>
  <si>
    <t>B-E02278-7.5EW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</si>
  <si>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7.5EW</t>
  </si>
  <si>
    <t>E02278-8M</t>
  </si>
  <si>
    <t>B-E02278-8M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</si>
  <si>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8M</t>
  </si>
  <si>
    <t>E02278-8EW</t>
  </si>
  <si>
    <t>B-E02278-8EW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</si>
  <si>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8EW</t>
  </si>
  <si>
    <t>E02278-8.5M</t>
  </si>
  <si>
    <t>B-E02278-8.5M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</si>
  <si>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8.5M</t>
  </si>
  <si>
    <t>E02278-8.5EW</t>
  </si>
  <si>
    <t>B-E02278-8.5EW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</si>
  <si>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8.5EW</t>
  </si>
  <si>
    <t>E02278-9M</t>
  </si>
  <si>
    <t>B-E02278-9M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</si>
  <si>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9M</t>
  </si>
  <si>
    <t>E02278-9EW</t>
  </si>
  <si>
    <t>B-E02278-9EW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</si>
  <si>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9EW</t>
  </si>
  <si>
    <t>E02278-9.5M</t>
  </si>
  <si>
    <t>B-E02278-9.5M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</si>
  <si>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9.5M</t>
  </si>
  <si>
    <t>E02278-9.5EW</t>
  </si>
  <si>
    <t>B-E02278-9.5EW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</si>
  <si>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9.5EW</t>
  </si>
  <si>
    <t>E02278-10M</t>
  </si>
  <si>
    <t>B-E02278-10M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</si>
  <si>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10M</t>
  </si>
  <si>
    <t>E02278-10EW</t>
  </si>
  <si>
    <t>B-E02278-10EW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</si>
  <si>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10EW</t>
  </si>
  <si>
    <t>E02278-10.5M</t>
  </si>
  <si>
    <t>B-E02278-10.5M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</si>
  <si>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10.5M</t>
  </si>
  <si>
    <t>E02278-10.5EW</t>
  </si>
  <si>
    <t>B-E02278-10.5EW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</si>
  <si>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10.5EW</t>
  </si>
  <si>
    <t>E02278-11M</t>
  </si>
  <si>
    <t>B-E02278-11M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</si>
  <si>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11M</t>
  </si>
  <si>
    <t>E02278-11EW</t>
  </si>
  <si>
    <t>B-E02278-11EW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</si>
  <si>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11EW</t>
  </si>
  <si>
    <t>E02278-11.5M</t>
  </si>
  <si>
    <t>B-E02278-11.5M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</si>
  <si>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11.5M</t>
  </si>
  <si>
    <t>E02278-11.5EW</t>
  </si>
  <si>
    <t>B-E02278-11.5EW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</si>
  <si>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11.5EW</t>
  </si>
  <si>
    <t>E02278-12M</t>
  </si>
  <si>
    <t>B-E02278-12M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</si>
  <si>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12M</t>
  </si>
  <si>
    <t>E02278-12EW</t>
  </si>
  <si>
    <t>B-E02278-12EW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</si>
  <si>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12EW</t>
  </si>
  <si>
    <t>E02278-13M</t>
  </si>
  <si>
    <t>B-E02278-13M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</si>
  <si>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13M</t>
  </si>
  <si>
    <t>E02278-13EW</t>
  </si>
  <si>
    <t>B-E02278-13EW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</si>
  <si>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13EW</t>
  </si>
  <si>
    <t>E02278-14M</t>
  </si>
  <si>
    <t>B-E02278-14M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</si>
  <si>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14M</t>
  </si>
  <si>
    <t>E02278-14EW</t>
  </si>
  <si>
    <t>B-E02278-14EW</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</si>
  <si>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14EW</t>
  </si>
  <si>
    <t>E02278-15M</t>
  </si>
  <si>
    <t>B-E02278-15M</t>
  </si>
  <si>
    <t>Bates Men's Rush 2 FX BootT, Coyote,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Athletic Strobel construction 
Ideal for: Service/Duty
Size: 15M</t>
  </si>
  <si>
    <t>E02296-7M</t>
  </si>
  <si>
    <t>B-E02296-7M</t>
  </si>
  <si>
    <t>Bates Men's Rush 2 FX Boot, Black, Sandwhich mesh upper with TPU hotmelt leather overlays, Moisture wicking mesh lining, Removable Full Cushion low density PU molds to your foot footbed, CMEVA midsole, Rubber Outsole, Cement Construction
Ideal for: Service/Duty
Size: 7M</t>
  </si>
  <si>
    <t>E02296-7EW</t>
  </si>
  <si>
    <t>B-E02296-7EW</t>
  </si>
  <si>
    <t>Bates Men's Rush 2 FX Boot, Black, Sandwhich mesh upper with TPU hotmelt leather overlays, Moisture wicking mesh lining, Removable Full Cushion low density PU molds to your foot footbed, CMEVA midsole, Rubber Outsole, Cement Construction
Ideal for: Service/Duty
Size: 7EW</t>
  </si>
  <si>
    <t>E02296-7.5M</t>
  </si>
  <si>
    <t>B-E02296-7.5M</t>
  </si>
  <si>
    <t>Bates Men's Rush 2 FX Boot, Black, Sandwhich mesh upper with TPU hotmelt leather overlays, Moisture wicking mesh lining, Removable Full Cushion low density PU molds to your foot footbed, CMEVA midsole, Rubber Outsole, Cement Construction
Ideal for: Service/Duty
Size: 7.5M</t>
  </si>
  <si>
    <t>E02296-7.5EW</t>
  </si>
  <si>
    <t>B-E02296-7.5EW</t>
  </si>
  <si>
    <t>Bates Men's Rush 2 FX Boot, Black, Sandwhich mesh upper with TPU hotmelt leather overlays, Moisture wicking mesh lining, Removable Full Cushion low density PU molds to your foot footbed, CMEVA midsole, Rubber Outsole, Cement Construction
Ideal for: Service/Duty
Size: 7.5EW</t>
  </si>
  <si>
    <t>E02296-8M</t>
  </si>
  <si>
    <t>B-E02296-8M</t>
  </si>
  <si>
    <t>Bates Men's Rush 2 FX Boot, Black, Sandwhich mesh upper with TPU hotmelt leather overlays, Moisture wicking mesh lining, Removable Full Cushion low density PU molds to your foot footbed, CMEVA midsole, Rubber Outsole, Cement Construction
Ideal for: Service/Duty
Size: 8M</t>
  </si>
  <si>
    <t>E02296-8EW</t>
  </si>
  <si>
    <t>B-E02296-8EW</t>
  </si>
  <si>
    <t>Bates Men's Rush 2 FX Boot, Black, Sandwhich mesh upper with TPU hotmelt leather overlays, Moisture wicking mesh lining, Removable Full Cushion low density PU molds to your foot footbed, CMEVA midsole, Rubber Outsole, Cement Construction
Ideal for: Service/Duty
Size: 8EW</t>
  </si>
  <si>
    <t>E02296-8.5M</t>
  </si>
  <si>
    <t>B-E02296-8.5M</t>
  </si>
  <si>
    <t>Bates Men's Rush 2 FX Boot, Black, Sandwhich mesh upper with TPU hotmelt leather overlays, Moisture wicking mesh lining, Removable Full Cushion low density PU molds to your foot footbed, CMEVA midsole, Rubber Outsole, Cement Construction
Ideal for: Service/Duty
Size: 8.5M</t>
  </si>
  <si>
    <t>E02296-8.5EW</t>
  </si>
  <si>
    <t>B-E02296-8.5EW</t>
  </si>
  <si>
    <t>Bates Men's Rush 2 FX Boot, Black, Sandwhich mesh upper with TPU hotmelt leather overlays, Moisture wicking mesh lining, Removable Full Cushion low density PU molds to your foot footbed, CMEVA midsole, Rubber Outsole, Cement Construction
Ideal for: Service/Duty
Size: 8.5EW</t>
  </si>
  <si>
    <t>E02296-9M</t>
  </si>
  <si>
    <t>B-E02296-9M</t>
  </si>
  <si>
    <t>Bates Men's Rush 2 FX Boot, Black, Sandwhich mesh upper with TPU hotmelt leather overlays, Moisture wicking mesh lining, Removable Full Cushion low density PU molds to your foot footbed, CMEVA midsole, Rubber Outsole, Cement Construction
Ideal for: Service/Duty
Size: 9M</t>
  </si>
  <si>
    <t>E02296-9EW</t>
  </si>
  <si>
    <t>B-E02296-9EW</t>
  </si>
  <si>
    <t>Bates Men's Rush 2 FX Boot, Black, Sandwhich mesh upper with TPU hotmelt leather overlays, Moisture wicking mesh lining, Removable Full Cushion low density PU molds to your foot footbed, CMEVA midsole, Rubber Outsole, Cement Construction
Ideal for: Service/Duty
Size: 9EW</t>
  </si>
  <si>
    <t>E02296-9.5M</t>
  </si>
  <si>
    <t>B-E02296-9.5M</t>
  </si>
  <si>
    <t>Bates Men's Rush 2 FX Boot, Black, Sandwhich mesh upper with TPU hotmelt leather overlays, Moisture wicking mesh lining, Removable Full Cushion low density PU molds to your foot footbed, CMEVA midsole, Rubber Outsole, Cement Construction
Ideal for: Service/Duty
Size: 9.5M</t>
  </si>
  <si>
    <t>E02296-9.5EW</t>
  </si>
  <si>
    <t>B-E02296-9.5EW</t>
  </si>
  <si>
    <t>Bates Men's Rush 2 FX Boot, Black, Sandwhich mesh upper with TPU hotmelt leather overlays, Moisture wicking mesh lining, Removable Full Cushion low density PU molds to your foot footbed, CMEVA midsole, Rubber Outsole, Cement Construction
Ideal for: Service/Duty
Size: 9.5EW</t>
  </si>
  <si>
    <t>E02296-10M</t>
  </si>
  <si>
    <t>B-E02296-10M</t>
  </si>
  <si>
    <t>Bates Men's Rush 2 FX Boot, Black, Sandwhich mesh upper with TPU hotmelt leather overlays, Moisture wicking mesh lining, Removable Full Cushion low density PU molds to your foot footbed, CMEVA midsole, Rubber Outsole, Cement Construction
Ideal for: Service/Duty
Size: 10M</t>
  </si>
  <si>
    <t>E02296-10EW</t>
  </si>
  <si>
    <t>B-E02296-10EW</t>
  </si>
  <si>
    <t>Bates Men's Rush 2 FX Boot, Black, Sandwhich mesh upper with TPU hotmelt leather overlays, Moisture wicking mesh lining, Removable Full Cushion low density PU molds to your foot footbed, CMEVA midsole, Rubber Outsole, Cement Construction
Ideal for: Service/Duty
Size: 10EW</t>
  </si>
  <si>
    <t>E02296-10.5M</t>
  </si>
  <si>
    <t>B-E02296-10.5M</t>
  </si>
  <si>
    <t>Bates Men's Rush 2 FX Boot, Black, Sandwhich mesh upper with TPU hotmelt leather overlays, Moisture wicking mesh lining, Removable Full Cushion low density PU molds to your foot footbed, CMEVA midsole, Rubber Outsole, Cement Construction
Ideal for: Service/Duty
Size: 10.5M</t>
  </si>
  <si>
    <t>E02296-10.5EW</t>
  </si>
  <si>
    <t>B-E02296-10.5EW</t>
  </si>
  <si>
    <t>Bates Men's Rush 2 FX Boot, Black, Sandwhich mesh upper with TPU hotmelt leather overlays, Moisture wicking mesh lining, Removable Full Cushion low density PU molds to your foot footbed, CMEVA midsole, Rubber Outsole, Cement Construction
Ideal for: Service/Duty
Size: 10.5EW</t>
  </si>
  <si>
    <t>E02296-11M</t>
  </si>
  <si>
    <t>B-E02296-11M</t>
  </si>
  <si>
    <t>Bates Men's Rush 2 FX Boot, Black, Sandwhich mesh upper with TPU hotmelt leather overlays, Moisture wicking mesh lining, Removable Full Cushion low density PU molds to your foot footbed, CMEVA midsole, Rubber Outsole, Cement Construction
Ideal for: Service/Duty
Size: 11M</t>
  </si>
  <si>
    <t>E02296-11EW</t>
  </si>
  <si>
    <t>B-E02296-11EW</t>
  </si>
  <si>
    <t>Bates Men's Rush 2 FX Boot, Black, Sandwhich mesh upper with TPU hotmelt leather overlays, Moisture wicking mesh lining, Removable Full Cushion low density PU molds to your foot footbed, CMEVA midsole, Rubber Outsole, Cement Construction
Ideal for: Service/Duty
Size: 11EW</t>
  </si>
  <si>
    <t>E02296-11.5M</t>
  </si>
  <si>
    <t>B-E02296-11.5M</t>
  </si>
  <si>
    <t>Bates Men's Rush 2 FX Boot, Black, Sandwhich mesh upper with TPU hotmelt leather overlays, Moisture wicking mesh lining, Removable Full Cushion low density PU molds to your foot footbed, CMEVA midsole, Rubber Outsole, Cement Construction
Ideal for: Service/Duty
Size: 11.5M</t>
  </si>
  <si>
    <t>E02296-11.5EW</t>
  </si>
  <si>
    <t>B-E02296-11.5EW</t>
  </si>
  <si>
    <t>Bates Men's Rush 2 FX Boot, Black, Sandwhich mesh upper with TPU hotmelt leather overlays, Moisture wicking mesh lining, Removable Full Cushion low density PU molds to your foot footbed, CMEVA midsole, Rubber Outsole, Cement Construction
Ideal for: Service/Duty
Size: 11.5EW</t>
  </si>
  <si>
    <t>E02296-12M</t>
  </si>
  <si>
    <t>B-E02296-12M</t>
  </si>
  <si>
    <t>Bates Men's Rush 2 FX Boot, Black, Sandwhich mesh upper with TPU hotmelt leather overlays, Moisture wicking mesh lining, Removable Full Cushion low density PU molds to your foot footbed, CMEVA midsole, Rubber Outsole, Cement Construction
Ideal for: Service/Duty
Size: 12M</t>
  </si>
  <si>
    <t>E02296-12EW</t>
  </si>
  <si>
    <t>B-E02296-12EW</t>
  </si>
  <si>
    <t>Bates Men's Rush 2 FX Boot, Black, Sandwhich mesh upper with TPU hotmelt leather overlays, Moisture wicking mesh lining, Removable Full Cushion low density PU molds to your foot footbed, CMEVA midsole, Rubber Outsole, Cement Construction
Ideal for: Service/Duty
Size: 12EW</t>
  </si>
  <si>
    <t>E02296-13M</t>
  </si>
  <si>
    <t>B-E02296-13M</t>
  </si>
  <si>
    <t>Bates Men's Rush 2 FX Boot, Black, Sandwhich mesh upper with TPU hotmelt leather overlays, Moisture wicking mesh lining, Removable Full Cushion low density PU molds to your foot footbed, CMEVA midsole, Rubber Outsole, Cement Construction
Ideal for: Service/Duty
Size: 13M</t>
  </si>
  <si>
    <t>E02296-13EW</t>
  </si>
  <si>
    <t>B-E02296-13EW</t>
  </si>
  <si>
    <t>Bates Men's Rush 2 FX Boot, Black, Sandwhich mesh upper with TPU hotmelt leather overlays, Moisture wicking mesh lining, Removable Full Cushion low density PU molds to your foot footbed, CMEVA midsole, Rubber Outsole, Cement Construction
Ideal for: Service/Duty
Size: 13EW</t>
  </si>
  <si>
    <t>E02296-14M</t>
  </si>
  <si>
    <t>B-E02296-14M</t>
  </si>
  <si>
    <t>Bates Men's Rush 2 FX Boot, Black, Sandwhich mesh upper with TPU hotmelt leather overlays, Moisture wicking mesh lining, Removable Full Cushion low density PU molds to your foot footbed, CMEVA midsole, Rubber Outsole, Cement Construction
Ideal for: Service/Duty
Size: 14M</t>
  </si>
  <si>
    <t>E02296-14EW</t>
  </si>
  <si>
    <t>B-E02296-14EW</t>
  </si>
  <si>
    <t>Bates Men's Rush 2 FX Boot, Black, Sandwhich mesh upper with TPU hotmelt leather overlays, Moisture wicking mesh lining, Removable Full Cushion low density PU molds to your foot footbed, CMEVA midsole, Rubber Outsole, Cement Construction
Ideal for: Service/Duty
Size: 14EW</t>
  </si>
  <si>
    <t>E03140-5M</t>
  </si>
  <si>
    <t>B-E03140-5M</t>
  </si>
  <si>
    <t>BATES MEN'S DURASHOCKS® BOOT</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</si>
  <si>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5M</t>
  </si>
  <si>
    <t>E03140-5.5M</t>
  </si>
  <si>
    <t>B-E03140-5.5M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</si>
  <si>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5.5M</t>
  </si>
  <si>
    <t>E03140-6M</t>
  </si>
  <si>
    <t>B-E03140-6M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</si>
  <si>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6M</t>
  </si>
  <si>
    <t>E03140-6.5M</t>
  </si>
  <si>
    <t>B-E03140-6.5M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</si>
  <si>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6.5M</t>
  </si>
  <si>
    <t>E03140-7M</t>
  </si>
  <si>
    <t>B-E03140-7M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</si>
  <si>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7M</t>
  </si>
  <si>
    <t>E03140-7EW</t>
  </si>
  <si>
    <t>B-E03140-7EW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</si>
  <si>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7EW</t>
  </si>
  <si>
    <t>E03140-7.5M</t>
  </si>
  <si>
    <t>B-E03140-7.5M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</si>
  <si>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7.5M</t>
  </si>
  <si>
    <t>E03140-7.5EW</t>
  </si>
  <si>
    <t>B-E03140-7.5EW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</si>
  <si>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7.5EW</t>
  </si>
  <si>
    <t>E03140-8M</t>
  </si>
  <si>
    <t>B-E03140-8M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</si>
  <si>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8M</t>
  </si>
  <si>
    <t>E03140-8EW</t>
  </si>
  <si>
    <t>B-E03140-8EW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</si>
  <si>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8EW</t>
  </si>
  <si>
    <t>E03140-8.5M</t>
  </si>
  <si>
    <t>B-E03140-8.5M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</si>
  <si>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8.5M</t>
  </si>
  <si>
    <t>E03140-8.5EW</t>
  </si>
  <si>
    <t>B-E03140-8.5EW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</si>
  <si>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8.5EW</t>
  </si>
  <si>
    <t>E03140-9M</t>
  </si>
  <si>
    <t>B-E03140-9M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</si>
  <si>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9M</t>
  </si>
  <si>
    <t>E03140-9EW</t>
  </si>
  <si>
    <t>B-E03140-9EW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</si>
  <si>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9EW</t>
  </si>
  <si>
    <t>E03140-9.5M</t>
  </si>
  <si>
    <t>B-E03140-9.5M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</si>
  <si>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9.5M</t>
  </si>
  <si>
    <t>E03140-9.5EW</t>
  </si>
  <si>
    <t>B-E03140-9.5EW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</si>
  <si>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9.5EW</t>
  </si>
  <si>
    <t>E03140-10M</t>
  </si>
  <si>
    <t>B-E03140-10M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</si>
  <si>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10M</t>
  </si>
  <si>
    <t>E03140-10EW</t>
  </si>
  <si>
    <t>B-E03140-10EW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</si>
  <si>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10EW</t>
  </si>
  <si>
    <t>E03140-10.5M</t>
  </si>
  <si>
    <t>B-E03140-10.5M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</si>
  <si>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10.5M</t>
  </si>
  <si>
    <t>E03140-10.5EW</t>
  </si>
  <si>
    <t>B-E03140-10.5EW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</si>
  <si>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10.5EW</t>
  </si>
  <si>
    <t>E03140-11M</t>
  </si>
  <si>
    <t>B-E03140-11M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</si>
  <si>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11M</t>
  </si>
  <si>
    <t>E03140-11EW</t>
  </si>
  <si>
    <t>B-E03140-11EW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</si>
  <si>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11EW</t>
  </si>
  <si>
    <t>E03140-11.5M</t>
  </si>
  <si>
    <t>B-E03140-11.5M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</si>
  <si>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11.5M</t>
  </si>
  <si>
    <t>E03140-11.5EW</t>
  </si>
  <si>
    <t>B-E03140-11.5EW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</si>
  <si>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11.5EW</t>
  </si>
  <si>
    <t>E03140-12M</t>
  </si>
  <si>
    <t>B-E03140-12M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</si>
  <si>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12M</t>
  </si>
  <si>
    <t>E03140-12EW</t>
  </si>
  <si>
    <t>B-E03140-12EW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</si>
  <si>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12EW</t>
  </si>
  <si>
    <t>E03140-13M</t>
  </si>
  <si>
    <t>B-E03140-13M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</si>
  <si>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13M</t>
  </si>
  <si>
    <t>E03140-13EW</t>
  </si>
  <si>
    <t>B-E03140-13EW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</si>
  <si>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13EW</t>
  </si>
  <si>
    <t>E03140-14M</t>
  </si>
  <si>
    <t>B-E03140-14M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</si>
  <si>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14M</t>
  </si>
  <si>
    <t>E03140-14EW</t>
  </si>
  <si>
    <t>B-E03140-14EW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</si>
  <si>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14EW</t>
  </si>
  <si>
    <t>E03140-15M</t>
  </si>
  <si>
    <t>B-E03140-15M</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</si>
  <si>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15M</t>
  </si>
  <si>
    <t>E03140-15EW</t>
  </si>
  <si>
    <t>B-E03140-15EW</t>
  </si>
  <si>
    <t>Bates Men's 8" Durashocks Lace-to-Toe Side Zip Boot, Black, Durable Leather and Nylon Upper, Breathable Moisture Wicking Lining, Bates DuraShocks® Shock Absorbing Comfort Technology, Nylon Side Zipper for Easy On and Off, Slip Resistant DuraShocks® Energy Returning Outsole
Ideal for: Service/Duty
 Size: 15EW</t>
  </si>
  <si>
    <t>E03160-7M</t>
  </si>
  <si>
    <t>B-E03160-7M</t>
  </si>
  <si>
    <t>BATES MEN'S TACTICAL SPORT 2 BOOT</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</si>
  <si>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7M</t>
  </si>
  <si>
    <t>E03160-7EW</t>
  </si>
  <si>
    <t>B-E03160-7EW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</si>
  <si>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7EW</t>
  </si>
  <si>
    <t>E03160-7.5M</t>
  </si>
  <si>
    <t>B-E03160-7.5M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</si>
  <si>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7.5M</t>
  </si>
  <si>
    <t>E03160-7.5EW</t>
  </si>
  <si>
    <t>B-E03160-7.5EW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</si>
  <si>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7.5EW</t>
  </si>
  <si>
    <t>E03160-8M</t>
  </si>
  <si>
    <t>B-E03160-8M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</si>
  <si>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8M</t>
  </si>
  <si>
    <t>E03160-8EW</t>
  </si>
  <si>
    <t>B-E03160-8EW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</si>
  <si>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8EW</t>
  </si>
  <si>
    <t>E03160-8.5M</t>
  </si>
  <si>
    <t>B-E03160-8.5M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</si>
  <si>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8.5M</t>
  </si>
  <si>
    <t>E03160-8.5EW</t>
  </si>
  <si>
    <t>B-E03160-8.5EW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</si>
  <si>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8.5EW</t>
  </si>
  <si>
    <t>E03160-9M</t>
  </si>
  <si>
    <t>B-E03160-9M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</si>
  <si>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9M</t>
  </si>
  <si>
    <t>E03160-9EW</t>
  </si>
  <si>
    <t>B-E03160-9EW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</si>
  <si>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9EW</t>
  </si>
  <si>
    <t>E03160-9.5M</t>
  </si>
  <si>
    <t>B-E03160-9.5M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</si>
  <si>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9.5M</t>
  </si>
  <si>
    <t>E03160-9.5EW</t>
  </si>
  <si>
    <t>B-E03160-9.5EW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</si>
  <si>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9.5EW</t>
  </si>
  <si>
    <t>E03160-10M</t>
  </si>
  <si>
    <t>B-E03160-10M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</si>
  <si>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10M</t>
  </si>
  <si>
    <t>E03160-10EW</t>
  </si>
  <si>
    <t>B-E03160-10EW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</si>
  <si>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10EW</t>
  </si>
  <si>
    <t>E03160-10.5M</t>
  </si>
  <si>
    <t>B-E03160-10.5M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</si>
  <si>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10.5M</t>
  </si>
  <si>
    <t>E03160-10.5EW</t>
  </si>
  <si>
    <t>B-E03160-10.5EW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</si>
  <si>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10.5EW</t>
  </si>
  <si>
    <t>E03160-11M</t>
  </si>
  <si>
    <t>B-E03160-11M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</si>
  <si>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11M</t>
  </si>
  <si>
    <t>E03160-11EW</t>
  </si>
  <si>
    <t>B-E03160-11EW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</si>
  <si>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11EW</t>
  </si>
  <si>
    <t>E03160-11.5M</t>
  </si>
  <si>
    <t>B-E03160-11.5M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</si>
  <si>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11.5M</t>
  </si>
  <si>
    <t>E03160-11.5EW</t>
  </si>
  <si>
    <t>B-E03160-11.5EW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</si>
  <si>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11.5EW</t>
  </si>
  <si>
    <t>E03160-12M</t>
  </si>
  <si>
    <t>B-E03160-12M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</si>
  <si>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12M</t>
  </si>
  <si>
    <t>E03160-12EW</t>
  </si>
  <si>
    <t>B-E03160-12EW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</si>
  <si>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12EW</t>
  </si>
  <si>
    <t>E03160-13M</t>
  </si>
  <si>
    <t>B-E03160-13M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</si>
  <si>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13M</t>
  </si>
  <si>
    <t>E03160-13EW</t>
  </si>
  <si>
    <t>B-E03160-13EW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</si>
  <si>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13EW</t>
  </si>
  <si>
    <t>E03160-14M</t>
  </si>
  <si>
    <t>B-E03160-14M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</si>
  <si>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14M</t>
  </si>
  <si>
    <t>E03160-14EW</t>
  </si>
  <si>
    <t>B-E03160-14EW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</si>
  <si>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14EW</t>
  </si>
  <si>
    <t>E03160-15M</t>
  </si>
  <si>
    <t>B-E03160-15M</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</si>
  <si>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15M</t>
  </si>
  <si>
    <t>E03160-15EW</t>
  </si>
  <si>
    <t>B-E03160-15EW</t>
  </si>
  <si>
    <t>Bates Men's Tactical Sport 2 Boot, Black, Built to last with durable full-grain leather (Black), Built to last with durable suede leather (Coyote),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Ideal for: Service/Duty
Size: 15EW</t>
  </si>
  <si>
    <t>E03162-7M</t>
  </si>
  <si>
    <t>B-E03162-7M</t>
  </si>
  <si>
    <t>BATES MEN'S TACTICAL SPORT 2 MID DRYGUARD</t>
  </si>
  <si>
    <t>E03162-7EW</t>
  </si>
  <si>
    <t>B-E03162-7EW</t>
  </si>
  <si>
    <t>E03162-7.5M</t>
  </si>
  <si>
    <t>B-E03162-7.5M</t>
  </si>
  <si>
    <t>E03162-7.5EW</t>
  </si>
  <si>
    <t>B-E03162-7.5EW</t>
  </si>
  <si>
    <t>E03162-8M</t>
  </si>
  <si>
    <t>B-E03162-8M</t>
  </si>
  <si>
    <t>E03162-8EW</t>
  </si>
  <si>
    <t>B-E03162-8EW</t>
  </si>
  <si>
    <t>E03162-8.5M</t>
  </si>
  <si>
    <t>B-E03162-8.5M</t>
  </si>
  <si>
    <t>E03162-8.5EW</t>
  </si>
  <si>
    <t>B-E03162-8.5EW</t>
  </si>
  <si>
    <t>E03162-9M</t>
  </si>
  <si>
    <t>B-E03162-9M</t>
  </si>
  <si>
    <t>E03162-9EW</t>
  </si>
  <si>
    <t>B-E03162-9EW</t>
  </si>
  <si>
    <t>E03162-9.5M</t>
  </si>
  <si>
    <t>B-E03162-9.5M</t>
  </si>
  <si>
    <t>E03162-9.5EW</t>
  </si>
  <si>
    <t>B-E03162-9.5EW</t>
  </si>
  <si>
    <t>E03162-10M</t>
  </si>
  <si>
    <t>B-E03162-10M</t>
  </si>
  <si>
    <t>E03162-10EW</t>
  </si>
  <si>
    <t>B-E03162-10EW</t>
  </si>
  <si>
    <t>E03162-10.5M</t>
  </si>
  <si>
    <t>B-E03162-10.5M</t>
  </si>
  <si>
    <t>E03162-10.5EW</t>
  </si>
  <si>
    <t>B-E03162-10.5EW</t>
  </si>
  <si>
    <t>E03162-11M</t>
  </si>
  <si>
    <t>B-E03162-11M</t>
  </si>
  <si>
    <t>E03162-11EW</t>
  </si>
  <si>
    <t>B-E03162-11EW</t>
  </si>
  <si>
    <t>E03162-11.5M</t>
  </si>
  <si>
    <t>B-E03162-11.5M</t>
  </si>
  <si>
    <t>E03162-11.5EW</t>
  </si>
  <si>
    <t>B-E03162-11.5EW</t>
  </si>
  <si>
    <t>E03162-12M</t>
  </si>
  <si>
    <t>B-E03162-12M</t>
  </si>
  <si>
    <t>E03162-12EW</t>
  </si>
  <si>
    <t>B-E03162-12EW</t>
  </si>
  <si>
    <t>E03162-13M</t>
  </si>
  <si>
    <t>B-E03162-13M</t>
  </si>
  <si>
    <t>E03162-13EW</t>
  </si>
  <si>
    <t>B-E03162-13EW</t>
  </si>
  <si>
    <t>E03162-14M</t>
  </si>
  <si>
    <t>B-E03162-14M</t>
  </si>
  <si>
    <t>E03162-14EW</t>
  </si>
  <si>
    <t>B-E03162-14EW</t>
  </si>
  <si>
    <t>E03162-15M</t>
  </si>
  <si>
    <t>B-E03162-15M</t>
  </si>
  <si>
    <t>E03162-15EW</t>
  </si>
  <si>
    <t>B-E03162-15EW</t>
  </si>
  <si>
    <t>E03164-4M</t>
  </si>
  <si>
    <t>B-E03164-4M</t>
  </si>
  <si>
    <t>BATES MEN'S TACTICAL SPORT 2 MID COMP TOE</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</si>
  <si>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4M</t>
  </si>
  <si>
    <t>E03164-4.5M</t>
  </si>
  <si>
    <t>B-E03164-4.5M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</si>
  <si>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4.5M</t>
  </si>
  <si>
    <t>E03164-5M</t>
  </si>
  <si>
    <t>B-E03164-5M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</si>
  <si>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5M</t>
  </si>
  <si>
    <t>E03164-5.5M</t>
  </si>
  <si>
    <t>B-E03164-5.5M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</si>
  <si>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5.5M</t>
  </si>
  <si>
    <t>E03164-6M</t>
  </si>
  <si>
    <t>B-E03164-6M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</si>
  <si>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6M</t>
  </si>
  <si>
    <t>E03164-6.5M</t>
  </si>
  <si>
    <t>B-E03164-6.5M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</si>
  <si>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6.5M</t>
  </si>
  <si>
    <t>E03164-7M</t>
  </si>
  <si>
    <t>B-E03164-7M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</si>
  <si>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7M</t>
  </si>
  <si>
    <t>E03164-7EW</t>
  </si>
  <si>
    <t>B-E03164-7EW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</si>
  <si>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7EW</t>
  </si>
  <si>
    <t>E03164-7.5M</t>
  </si>
  <si>
    <t>B-E03164-7.5M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</si>
  <si>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7.5M</t>
  </si>
  <si>
    <t>E03164-7.5EW</t>
  </si>
  <si>
    <t>B-E03164-7.5EW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</si>
  <si>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7.5EW</t>
  </si>
  <si>
    <t>E03164-8M</t>
  </si>
  <si>
    <t>B-E03164-8M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</si>
  <si>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8M</t>
  </si>
  <si>
    <t>E03164-8EW</t>
  </si>
  <si>
    <t>B-E03164-8EW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</si>
  <si>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8EW</t>
  </si>
  <si>
    <t>E03164-8.5M</t>
  </si>
  <si>
    <t>B-E03164-8.5M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</si>
  <si>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8.5M</t>
  </si>
  <si>
    <t>E03164-8.5EW</t>
  </si>
  <si>
    <t>B-E03164-8.5EW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</si>
  <si>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8.5EW</t>
  </si>
  <si>
    <t>E03164-9M</t>
  </si>
  <si>
    <t>B-E03164-9M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</si>
  <si>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9M</t>
  </si>
  <si>
    <t>E03164-9EW</t>
  </si>
  <si>
    <t>B-E03164-9EW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</si>
  <si>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9EW</t>
  </si>
  <si>
    <t>E03164-9.5M</t>
  </si>
  <si>
    <t>B-E03164-9.5M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</si>
  <si>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9.5M</t>
  </si>
  <si>
    <t>E03164-9.5EW</t>
  </si>
  <si>
    <t>B-E03164-9.5EW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</si>
  <si>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9.5EW</t>
  </si>
  <si>
    <t>E03164-10M</t>
  </si>
  <si>
    <t>B-E03164-10M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</si>
  <si>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10M</t>
  </si>
  <si>
    <t>E03164-10EW</t>
  </si>
  <si>
    <t>B-E03164-10EW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</si>
  <si>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10EW</t>
  </si>
  <si>
    <t>E03164-10.5M</t>
  </si>
  <si>
    <t>B-E03164-10.5M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</si>
  <si>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10.5M</t>
  </si>
  <si>
    <t>E03164-10.5EW</t>
  </si>
  <si>
    <t>B-E03164-10.5EW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</si>
  <si>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10.5EW</t>
  </si>
  <si>
    <t>E03164-11M</t>
  </si>
  <si>
    <t>B-E03164-11M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</si>
  <si>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11M</t>
  </si>
  <si>
    <t>E03164-11EW</t>
  </si>
  <si>
    <t>B-E03164-11EW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</si>
  <si>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11EW</t>
  </si>
  <si>
    <t>E03164-11.5M</t>
  </si>
  <si>
    <t>B-E03164-11.5M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</si>
  <si>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11.5M</t>
  </si>
  <si>
    <t>E03164-11.5EW</t>
  </si>
  <si>
    <t>B-E03164-11.5EW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</si>
  <si>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11.5EW</t>
  </si>
  <si>
    <t>E03164-12M</t>
  </si>
  <si>
    <t>B-E03164-12M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</si>
  <si>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12M</t>
  </si>
  <si>
    <t>E03164-12EW</t>
  </si>
  <si>
    <t>B-E03164-12EW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</si>
  <si>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12EW</t>
  </si>
  <si>
    <t>E03164-13M</t>
  </si>
  <si>
    <t>B-E03164-13M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</si>
  <si>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13M</t>
  </si>
  <si>
    <t>E03164-13EW</t>
  </si>
  <si>
    <t>B-E03164-13EW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</si>
  <si>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13EW</t>
  </si>
  <si>
    <t>E03164-14M</t>
  </si>
  <si>
    <t>B-E03164-14M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</si>
  <si>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14M</t>
  </si>
  <si>
    <t>E03164-14EW</t>
  </si>
  <si>
    <t>B-E03164-14EW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</si>
  <si>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14EW</t>
  </si>
  <si>
    <t>E03164-15M</t>
  </si>
  <si>
    <t>B-E03164-15M</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</si>
  <si>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15M</t>
  </si>
  <si>
    <t>E03164-15EW</t>
  </si>
  <si>
    <t>B-E03164-15EW</t>
  </si>
  <si>
    <t>Bates Men's Tactical Sport 2 Mid Side Zip Comp Toe,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15EW</t>
  </si>
  <si>
    <t>E03180-4M</t>
  </si>
  <si>
    <t>B-E03180-4M</t>
  </si>
  <si>
    <t>BATES MEN'S TACTICAL SPORT 2 TALL BOOT- BLACK</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</si>
  <si>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4M</t>
  </si>
  <si>
    <t>E03180-4.5M</t>
  </si>
  <si>
    <t>B-E03180-4.5M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</si>
  <si>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4.5M</t>
  </si>
  <si>
    <t>E03180-5M</t>
  </si>
  <si>
    <t>B-E03180-5M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</si>
  <si>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5M</t>
  </si>
  <si>
    <t>E03180-5.5M</t>
  </si>
  <si>
    <t>B-E03180-5.5M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</si>
  <si>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5.5M</t>
  </si>
  <si>
    <t>E03180-6M</t>
  </si>
  <si>
    <t>B-E03180-6M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</si>
  <si>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6M</t>
  </si>
  <si>
    <t>E03180-6.5M</t>
  </si>
  <si>
    <t>B-E03180-6.5M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</si>
  <si>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6.5M</t>
  </si>
  <si>
    <t>E03180-7M</t>
  </si>
  <si>
    <t>B-E03180-7M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</si>
  <si>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7M</t>
  </si>
  <si>
    <t>E03180-7EW</t>
  </si>
  <si>
    <t>B-E03180-7EW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</si>
  <si>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7EW</t>
  </si>
  <si>
    <t>E03180-7.5M</t>
  </si>
  <si>
    <t>B-E03180-7.5M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</si>
  <si>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7.5M</t>
  </si>
  <si>
    <t>E03180-7.5EW</t>
  </si>
  <si>
    <t>B-E03180-7.5EW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</si>
  <si>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7.5EW</t>
  </si>
  <si>
    <t>E03180-8M</t>
  </si>
  <si>
    <t>B-E03180-8M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</si>
  <si>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8M</t>
  </si>
  <si>
    <t>E03180-8EW</t>
  </si>
  <si>
    <t>B-E03180-8EW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</si>
  <si>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8EW</t>
  </si>
  <si>
    <t>E03180-8.5M</t>
  </si>
  <si>
    <t>B-E03180-8.5M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</si>
  <si>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8.5M</t>
  </si>
  <si>
    <t>E03180-8.5EW</t>
  </si>
  <si>
    <t>B-E03180-8.5EW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</si>
  <si>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8.5EW</t>
  </si>
  <si>
    <t>E03180-9M</t>
  </si>
  <si>
    <t>B-E03180-9M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</si>
  <si>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9M</t>
  </si>
  <si>
    <t>E03180-9EW</t>
  </si>
  <si>
    <t>B-E03180-9EW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</si>
  <si>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9EW</t>
  </si>
  <si>
    <t>E03180-9.5M</t>
  </si>
  <si>
    <t>B-E03180-9.5M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</si>
  <si>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9.5M</t>
  </si>
  <si>
    <t>E03180-9.5EW</t>
  </si>
  <si>
    <t>B-E03180-9.5EW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</si>
  <si>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9.5EW</t>
  </si>
  <si>
    <t>E03180-10M</t>
  </si>
  <si>
    <t>B-E03180-10M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</si>
  <si>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10M</t>
  </si>
  <si>
    <t>E03180-10EW</t>
  </si>
  <si>
    <t>B-E03180-10EW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</si>
  <si>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10EW</t>
  </si>
  <si>
    <t>E03180-10.5M</t>
  </si>
  <si>
    <t>B-E03180-10.5M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</si>
  <si>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10.5M</t>
  </si>
  <si>
    <t>E03180-10.5EW</t>
  </si>
  <si>
    <t>B-E03180-10.5EW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</si>
  <si>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10.5EW</t>
  </si>
  <si>
    <t>E03180-11M</t>
  </si>
  <si>
    <t>B-E03180-11M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</si>
  <si>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11M</t>
  </si>
  <si>
    <t>E03180-11EW</t>
  </si>
  <si>
    <t>B-E03180-11EW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</si>
  <si>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11EW</t>
  </si>
  <si>
    <t>E03180-11.5M</t>
  </si>
  <si>
    <t>B-E03180-11.5M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</si>
  <si>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11.5M</t>
  </si>
  <si>
    <t>E03180-11.5EW</t>
  </si>
  <si>
    <t>B-E03180-11.5EW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</si>
  <si>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11.5EW</t>
  </si>
  <si>
    <t>E03180-12M</t>
  </si>
  <si>
    <t>B-E03180-12M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</si>
  <si>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12M</t>
  </si>
  <si>
    <t>E03180-12EW</t>
  </si>
  <si>
    <t>B-E03180-12EW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</si>
  <si>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12EW</t>
  </si>
  <si>
    <t>E03180-13M</t>
  </si>
  <si>
    <t>B-E03180-13M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</si>
  <si>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13M</t>
  </si>
  <si>
    <t>E03180-13EW</t>
  </si>
  <si>
    <t>B-E03180-13EW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</si>
  <si>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13EW</t>
  </si>
  <si>
    <t>E03180-14M</t>
  </si>
  <si>
    <t>B-E03180-14M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</si>
  <si>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14M</t>
  </si>
  <si>
    <t>E03180-14EW</t>
  </si>
  <si>
    <t>B-E03180-14EW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</si>
  <si>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14EW</t>
  </si>
  <si>
    <t>E03180-15M</t>
  </si>
  <si>
    <t>B-E03180-15M</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</si>
  <si>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15M</t>
  </si>
  <si>
    <t>E03180-15EW</t>
  </si>
  <si>
    <t>B-E03180-15EW</t>
  </si>
  <si>
    <t>Bates Men's Tactical Sport 2 Tall Side Zip Boot,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15EW</t>
  </si>
  <si>
    <t>E03181-7M</t>
  </si>
  <si>
    <t>B-E03181-7M</t>
  </si>
  <si>
    <t>BATES MEN'S TACTICAL SPORT 2 TALL BOOT- COYOTE</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</si>
  <si>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7M</t>
  </si>
  <si>
    <t>E03181-7EW</t>
  </si>
  <si>
    <t>B-E03181-7EW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</si>
  <si>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7EW</t>
  </si>
  <si>
    <t>E03181-7.5M</t>
  </si>
  <si>
    <t>B-E03181-7.5M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</si>
  <si>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7.5M</t>
  </si>
  <si>
    <t>E03181-7.5EW</t>
  </si>
  <si>
    <t>B-E03181-7.5EW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</si>
  <si>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7.5EW</t>
  </si>
  <si>
    <t>E03181-8M</t>
  </si>
  <si>
    <t>B-E03181-8M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</si>
  <si>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8M</t>
  </si>
  <si>
    <t>E03181-8EW</t>
  </si>
  <si>
    <t>B-E03181-8EW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</si>
  <si>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8EW</t>
  </si>
  <si>
    <t>E03181-8.5M</t>
  </si>
  <si>
    <t>B-E03181-8.5M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</si>
  <si>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8.5M</t>
  </si>
  <si>
    <t>E03181-8.5EW</t>
  </si>
  <si>
    <t>B-E03181-8.5EW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</si>
  <si>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8.5EW</t>
  </si>
  <si>
    <t>E03181-9M</t>
  </si>
  <si>
    <t>B-E03181-9M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</si>
  <si>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9M</t>
  </si>
  <si>
    <t>E03181-9EW</t>
  </si>
  <si>
    <t>B-E03181-9EW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</si>
  <si>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9EW</t>
  </si>
  <si>
    <t>E03181-9.5M</t>
  </si>
  <si>
    <t>B-E03181-9.5M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</si>
  <si>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9.5M</t>
  </si>
  <si>
    <t>E03181-9.5EW</t>
  </si>
  <si>
    <t>B-E03181-9.5EW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</si>
  <si>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9.5EW</t>
  </si>
  <si>
    <t>E03181-10M</t>
  </si>
  <si>
    <t>B-E03181-10M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</si>
  <si>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10M</t>
  </si>
  <si>
    <t>E03181-10EW</t>
  </si>
  <si>
    <t>B-E03181-10EW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</si>
  <si>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10EW</t>
  </si>
  <si>
    <t>E03181-10.5M</t>
  </si>
  <si>
    <t>B-E03181-10.5M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</si>
  <si>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10.5M</t>
  </si>
  <si>
    <t>E03181-10.5EW</t>
  </si>
  <si>
    <t>B-E03181-10.5EW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</si>
  <si>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10.5EW</t>
  </si>
  <si>
    <t>E03181-11M</t>
  </si>
  <si>
    <t>B-E03181-11M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</si>
  <si>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11M</t>
  </si>
  <si>
    <t>E03181-11EW</t>
  </si>
  <si>
    <t>B-E03181-11EW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</si>
  <si>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11EW</t>
  </si>
  <si>
    <t>E03181-11.5M</t>
  </si>
  <si>
    <t>B-E03181-11.5M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</si>
  <si>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11.5M</t>
  </si>
  <si>
    <t>E03181-11.5EW</t>
  </si>
  <si>
    <t>B-E03181-11.5EW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</si>
  <si>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11.5EW</t>
  </si>
  <si>
    <t>E03181-12M</t>
  </si>
  <si>
    <t>B-E03181-12M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</si>
  <si>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12M</t>
  </si>
  <si>
    <t>E03181-12EW</t>
  </si>
  <si>
    <t>B-E03181-12EW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</si>
  <si>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12EW</t>
  </si>
  <si>
    <t>E03181-13M</t>
  </si>
  <si>
    <t>B-E03181-13M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</si>
  <si>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13M</t>
  </si>
  <si>
    <t>E03181-13EW</t>
  </si>
  <si>
    <t>B-E03181-13EW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</si>
  <si>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13EW</t>
  </si>
  <si>
    <t>E03181-14M</t>
  </si>
  <si>
    <t>B-E03181-14M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</si>
  <si>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14M</t>
  </si>
  <si>
    <t>E03181-14EW</t>
  </si>
  <si>
    <t>B-E03181-14EW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</si>
  <si>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14EW</t>
  </si>
  <si>
    <t>E03181-15M</t>
  </si>
  <si>
    <t>B-E03181-15M</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</si>
  <si>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15M</t>
  </si>
  <si>
    <t>E03181-15EW</t>
  </si>
  <si>
    <t>B-E03181-15EW</t>
  </si>
  <si>
    <t>Bates Men's Tactical Sport 2 Tall Side Zip Boot, Coyote,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Made with a modiﬁed last for better foot position, Better ground connection with 11mm heel to toe drop
Ideal For: Service/Duty
 Size: 15EW</t>
  </si>
  <si>
    <t>E03182-7M</t>
  </si>
  <si>
    <t>B-E03182-7M</t>
  </si>
  <si>
    <t>BATES MEN'S TACTICAL SPORT 2 TALL BOOT</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</si>
  <si>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7M</t>
  </si>
  <si>
    <t>E03182-7EW</t>
  </si>
  <si>
    <t>B-E03182-7EW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</si>
  <si>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7EW</t>
  </si>
  <si>
    <t>E03182-7.5M</t>
  </si>
  <si>
    <t>B-E03182-7.5M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</si>
  <si>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7.5M</t>
  </si>
  <si>
    <t>E03182-7.5EW</t>
  </si>
  <si>
    <t>B-E03182-7.5EW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</si>
  <si>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7.5EW</t>
  </si>
  <si>
    <t>E03182-8M</t>
  </si>
  <si>
    <t>B-E03182-8M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</si>
  <si>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8M</t>
  </si>
  <si>
    <t>E03182-8EW</t>
  </si>
  <si>
    <t>B-E03182-8EW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</si>
  <si>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8EW</t>
  </si>
  <si>
    <t>E03182-8.5M</t>
  </si>
  <si>
    <t>B-E03182-8.5M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</si>
  <si>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8.5M</t>
  </si>
  <si>
    <t>E03182-8.5EW</t>
  </si>
  <si>
    <t>B-E03182-8.5EW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</si>
  <si>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8.5EW</t>
  </si>
  <si>
    <t>E03182-9M</t>
  </si>
  <si>
    <t>B-E03182-9M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</si>
  <si>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9M</t>
  </si>
  <si>
    <t>E03182-9EW</t>
  </si>
  <si>
    <t>B-E03182-9EW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</si>
  <si>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9EW</t>
  </si>
  <si>
    <t>E03182-9.5M</t>
  </si>
  <si>
    <t>B-E03182-9.5M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</si>
  <si>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9.5M</t>
  </si>
  <si>
    <t>E03182-9.5EW</t>
  </si>
  <si>
    <t>B-E03182-9.5EW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</si>
  <si>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9.5EW</t>
  </si>
  <si>
    <t>E03182-10M</t>
  </si>
  <si>
    <t>B-E03182-10M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</si>
  <si>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10M</t>
  </si>
  <si>
    <t>E03182-10EW</t>
  </si>
  <si>
    <t>B-E03182-10EW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</si>
  <si>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10EW</t>
  </si>
  <si>
    <t>E03182-10.5M</t>
  </si>
  <si>
    <t>B-E03182-10.5M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</si>
  <si>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10.5M</t>
  </si>
  <si>
    <t>E03182-10.5EW</t>
  </si>
  <si>
    <t>B-E03182-10.5EW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</si>
  <si>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10.5EW</t>
  </si>
  <si>
    <t>E03182-11M</t>
  </si>
  <si>
    <t>B-E03182-11M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</si>
  <si>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11M</t>
  </si>
  <si>
    <t>E03182-11EW</t>
  </si>
  <si>
    <t>B-E03182-11EW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</si>
  <si>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11EW</t>
  </si>
  <si>
    <t>E03182-11.5M</t>
  </si>
  <si>
    <t>B-E03182-11.5M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</si>
  <si>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11.5M</t>
  </si>
  <si>
    <t>E03182-11.5EW</t>
  </si>
  <si>
    <t>B-E03182-11.5EW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</si>
  <si>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11.5EW</t>
  </si>
  <si>
    <t>E03182-12M</t>
  </si>
  <si>
    <t>B-E03182-12M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</si>
  <si>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12M</t>
  </si>
  <si>
    <t>E03182-12EW</t>
  </si>
  <si>
    <t>B-E03182-12EW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</si>
  <si>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12EW</t>
  </si>
  <si>
    <t>E03182-13M</t>
  </si>
  <si>
    <t>B-E03182-13M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</si>
  <si>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13M</t>
  </si>
  <si>
    <t>E03182-13EW</t>
  </si>
  <si>
    <t>B-E03182-13EW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</si>
  <si>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13EW</t>
  </si>
  <si>
    <t>E03182-14M</t>
  </si>
  <si>
    <t>B-E03182-14M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</si>
  <si>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14M</t>
  </si>
  <si>
    <t>E03182-14EW</t>
  </si>
  <si>
    <t>B-E03182-14EW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</si>
  <si>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14EW</t>
  </si>
  <si>
    <t>E03182-15M</t>
  </si>
  <si>
    <t>B-E03182-15M</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</si>
  <si>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15M</t>
  </si>
  <si>
    <t>E03182-15EW</t>
  </si>
  <si>
    <t>B-E03182-15EW</t>
  </si>
  <si>
    <t>Bates Men's Tactical Sports 2 Tall Side Zip DRYGurad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15EW</t>
  </si>
  <si>
    <t>E03184-4M</t>
  </si>
  <si>
    <t>B-E03184-4M</t>
  </si>
  <si>
    <t>BATES TACTICAL SPORT 2 TALL BOOT</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</si>
  <si>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4M</t>
  </si>
  <si>
    <t>E03184-4.5M</t>
  </si>
  <si>
    <t>B-E03184-4.5M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</si>
  <si>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4.5M</t>
  </si>
  <si>
    <t>E03184-5M</t>
  </si>
  <si>
    <t>B-E03184-5M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</si>
  <si>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5M</t>
  </si>
  <si>
    <t>E03184-5.5M</t>
  </si>
  <si>
    <t>B-E03184-5.5M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</si>
  <si>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5.5M</t>
  </si>
  <si>
    <t>E03184-6M</t>
  </si>
  <si>
    <t>B-E03184-6M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</si>
  <si>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6M</t>
  </si>
  <si>
    <t>E03184-6.5M</t>
  </si>
  <si>
    <t>B-E03184-6.5M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</si>
  <si>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6.5M</t>
  </si>
  <si>
    <t>E03184-7M</t>
  </si>
  <si>
    <t>B-E03184-7M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</si>
  <si>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7M</t>
  </si>
  <si>
    <t>E03184-7EW</t>
  </si>
  <si>
    <t>B-E03184-7EW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</si>
  <si>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7EW</t>
  </si>
  <si>
    <t>E03184-7.5M</t>
  </si>
  <si>
    <t>B-E03184-7.5M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</si>
  <si>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7.5M</t>
  </si>
  <si>
    <t>E03184-7.5EW</t>
  </si>
  <si>
    <t>B-E03184-7.5EW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</si>
  <si>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7.5EW</t>
  </si>
  <si>
    <t>E03184-8M</t>
  </si>
  <si>
    <t>B-E03184-8M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</si>
  <si>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8M</t>
  </si>
  <si>
    <t>E03184-8EW</t>
  </si>
  <si>
    <t>B-E03184-8EW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</si>
  <si>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8EW</t>
  </si>
  <si>
    <t>E03184-8.5M</t>
  </si>
  <si>
    <t>B-E03184-8.5M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</si>
  <si>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8.5M</t>
  </si>
  <si>
    <t>E03184-8.5EW</t>
  </si>
  <si>
    <t>B-E03184-8.5EW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</si>
  <si>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8.5EW</t>
  </si>
  <si>
    <t>E03184-9M</t>
  </si>
  <si>
    <t>B-E03184-9M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</si>
  <si>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9M</t>
  </si>
  <si>
    <t>E03184-9EW</t>
  </si>
  <si>
    <t>B-E03184-9EW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</si>
  <si>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9EW</t>
  </si>
  <si>
    <t>E03184-9.5M</t>
  </si>
  <si>
    <t>B-E03184-9.5M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</si>
  <si>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9.5M</t>
  </si>
  <si>
    <t>E03184-9.5EW</t>
  </si>
  <si>
    <t>B-E03184-9.5EW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</si>
  <si>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9.5EW</t>
  </si>
  <si>
    <t>E03184-10M</t>
  </si>
  <si>
    <t>B-E03184-10M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</si>
  <si>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10M</t>
  </si>
  <si>
    <t>E03184-10EW</t>
  </si>
  <si>
    <t>B-E03184-10EW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</si>
  <si>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10EW</t>
  </si>
  <si>
    <t>E03184-10.5M</t>
  </si>
  <si>
    <t>B-E03184-10.5M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</si>
  <si>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10.5M</t>
  </si>
  <si>
    <t>E03184-10.5EW</t>
  </si>
  <si>
    <t>B-E03184-10.5EW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</si>
  <si>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10.5EW</t>
  </si>
  <si>
    <t>E03184-11M</t>
  </si>
  <si>
    <t>B-E03184-11M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</si>
  <si>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11M</t>
  </si>
  <si>
    <t>E03184-11EW</t>
  </si>
  <si>
    <t>B-E03184-11EW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</si>
  <si>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11EW</t>
  </si>
  <si>
    <t>E03184-11.5M</t>
  </si>
  <si>
    <t>B-E03184-11.5M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</si>
  <si>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11.5M</t>
  </si>
  <si>
    <t>E03184-11.5EW</t>
  </si>
  <si>
    <t>B-E03184-11.5EW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</si>
  <si>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11.5EW</t>
  </si>
  <si>
    <t>E03184-12M</t>
  </si>
  <si>
    <t>B-E03184-12M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</si>
  <si>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12M</t>
  </si>
  <si>
    <t>E03184-12EW</t>
  </si>
  <si>
    <t>B-E03184-12EW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</si>
  <si>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12EW</t>
  </si>
  <si>
    <t>E03184-13M</t>
  </si>
  <si>
    <t>B-E03184-13M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</si>
  <si>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13M</t>
  </si>
  <si>
    <t>E03184-13EW</t>
  </si>
  <si>
    <t>B-E03184-13EW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</si>
  <si>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13EW</t>
  </si>
  <si>
    <t>E03184-14M</t>
  </si>
  <si>
    <t>B-E03184-14M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</si>
  <si>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14M</t>
  </si>
  <si>
    <t>E03184-14EW</t>
  </si>
  <si>
    <t>B-E03184-14EW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</si>
  <si>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14EW</t>
  </si>
  <si>
    <t>E03184-15M</t>
  </si>
  <si>
    <t>B-E03184-15M</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</si>
  <si>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15M</t>
  </si>
  <si>
    <t>E03184-15EW</t>
  </si>
  <si>
    <t>B-E03184-15EW</t>
  </si>
  <si>
    <t>Bates Tactical Sport 2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Width:Size: 15EW</t>
  </si>
  <si>
    <t>E03186-7M</t>
  </si>
  <si>
    <t>B-E03186-7M</t>
  </si>
  <si>
    <t xml:space="preserve">BATES MEN'S TACTICAL SPORT 2 TALL BOOT </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</si>
  <si>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7M</t>
  </si>
  <si>
    <t>E03186-7EW</t>
  </si>
  <si>
    <t>B-E03186-7EW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</si>
  <si>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7EW</t>
  </si>
  <si>
    <t>E03186-7.5M</t>
  </si>
  <si>
    <t>B-E03186-7.5M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</si>
  <si>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7.5M</t>
  </si>
  <si>
    <t>E03186-7.5EW</t>
  </si>
  <si>
    <t>B-E03186-7.5EW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</si>
  <si>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7.5EW</t>
  </si>
  <si>
    <t>E03186-8M</t>
  </si>
  <si>
    <t>B-E03186-8M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</si>
  <si>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8M</t>
  </si>
  <si>
    <t>E03186-8EW</t>
  </si>
  <si>
    <t>B-E03186-8EW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</si>
  <si>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8EW</t>
  </si>
  <si>
    <t>E03186-8.5M</t>
  </si>
  <si>
    <t>B-E03186-8.5M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</si>
  <si>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8.5M</t>
  </si>
  <si>
    <t>E03186-8.5EW</t>
  </si>
  <si>
    <t>B-E03186-8.5EW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</si>
  <si>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8.5EW</t>
  </si>
  <si>
    <t>E03186-9M</t>
  </si>
  <si>
    <t>B-E03186-9M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</si>
  <si>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9M</t>
  </si>
  <si>
    <t>E03186-9EW</t>
  </si>
  <si>
    <t>B-E03186-9EW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</si>
  <si>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9EW</t>
  </si>
  <si>
    <t>E03186-9.5M</t>
  </si>
  <si>
    <t>B-E03186-9.5M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</si>
  <si>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9.5M</t>
  </si>
  <si>
    <t>E03186-9.5EW</t>
  </si>
  <si>
    <t>B-E03186-9.5EW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</si>
  <si>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9.5EW</t>
  </si>
  <si>
    <t>E03186-10M</t>
  </si>
  <si>
    <t>B-E03186-10M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</si>
  <si>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10M</t>
  </si>
  <si>
    <t>E03186-10EW</t>
  </si>
  <si>
    <t>B-E03186-10EW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</si>
  <si>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10EW</t>
  </si>
  <si>
    <t>E03186-10.5M</t>
  </si>
  <si>
    <t>B-E03186-10.5M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</si>
  <si>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10.5M</t>
  </si>
  <si>
    <t>E03186-10.5EW</t>
  </si>
  <si>
    <t>B-E03186-10.5EW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</si>
  <si>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10.5EW</t>
  </si>
  <si>
    <t>E03186-11M</t>
  </si>
  <si>
    <t>B-E03186-11M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</si>
  <si>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11M</t>
  </si>
  <si>
    <t>E03186-11EW</t>
  </si>
  <si>
    <t>B-E03186-11EW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</si>
  <si>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11EW</t>
  </si>
  <si>
    <t>E03186-11.5M</t>
  </si>
  <si>
    <t>B-E03186-11.5M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</si>
  <si>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11.5M</t>
  </si>
  <si>
    <t>E03186-11.5EW</t>
  </si>
  <si>
    <t>B-E03186-11.5EW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</si>
  <si>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11.5EW</t>
  </si>
  <si>
    <t>E03186-12M</t>
  </si>
  <si>
    <t>B-E03186-12M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</si>
  <si>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12M</t>
  </si>
  <si>
    <t>E03186-12EW</t>
  </si>
  <si>
    <t>B-E03186-12EW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</si>
  <si>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12EW</t>
  </si>
  <si>
    <t>E03186-13M</t>
  </si>
  <si>
    <t>B-E03186-13M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</si>
  <si>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13M</t>
  </si>
  <si>
    <t>E03186-13EW</t>
  </si>
  <si>
    <t>B-E03186-13EW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</si>
  <si>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13EW</t>
  </si>
  <si>
    <t>E03186-14M</t>
  </si>
  <si>
    <t>B-E03186-14M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</si>
  <si>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14M</t>
  </si>
  <si>
    <t>E03186-14EW</t>
  </si>
  <si>
    <t>B-E03186-14EW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</si>
  <si>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14EW</t>
  </si>
  <si>
    <t>E03186-15M</t>
  </si>
  <si>
    <t>B-E03186-15M</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</si>
  <si>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15M</t>
  </si>
  <si>
    <t>E03186-15EW</t>
  </si>
  <si>
    <t>B-E03186-15EW</t>
  </si>
  <si>
    <t>Bates Men's Tactical Sports 2 Tall DRYGuard Side Zip Composite Toe Boots, Black, Stay dry with waterproof DRYGuard™ membrane, ASTM F2413-18 rated composite toe, Ground-gripping TacTRACTION™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Ideal for: Service/Duty
Width:
Gender:Size: 15EW</t>
  </si>
  <si>
    <t>E03560-5M</t>
  </si>
  <si>
    <t>B-E03560-5M</t>
  </si>
  <si>
    <t>BATES WOMEN'S  TACTICAL SPORT 2 MID BOOT</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</si>
  <si>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5M</t>
  </si>
  <si>
    <t>E03560-5.5M</t>
  </si>
  <si>
    <t>B-E03560-5.5M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</si>
  <si>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5.5M</t>
  </si>
  <si>
    <t>E03560-6M</t>
  </si>
  <si>
    <t>B-E03560-6M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</si>
  <si>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6M</t>
  </si>
  <si>
    <t>E03560-6.5M</t>
  </si>
  <si>
    <t>B-E03560-6.5M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</si>
  <si>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6.5M</t>
  </si>
  <si>
    <t>E03560-7M</t>
  </si>
  <si>
    <t>B-E03560-7M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</si>
  <si>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7M</t>
  </si>
  <si>
    <t>E03560-7.5M</t>
  </si>
  <si>
    <t>B-E03560-7.5M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</si>
  <si>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7.5M</t>
  </si>
  <si>
    <t>E03560-8M</t>
  </si>
  <si>
    <t>B-E03560-8M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</si>
  <si>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8M</t>
  </si>
  <si>
    <t>E03560-8.5M</t>
  </si>
  <si>
    <t>B-E03560-8.5M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</si>
  <si>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8.5M</t>
  </si>
  <si>
    <t>E03560-9M</t>
  </si>
  <si>
    <t>B-E03560-9M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</si>
  <si>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9M</t>
  </si>
  <si>
    <t>E03560-9.5M</t>
  </si>
  <si>
    <t>B-E03560-9.5M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</si>
  <si>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9.5M</t>
  </si>
  <si>
    <t>E03560-10M</t>
  </si>
  <si>
    <t>B-E03560-10M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</si>
  <si>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10M</t>
  </si>
  <si>
    <t>E03560-11M</t>
  </si>
  <si>
    <t>B-E03560-11M</t>
  </si>
  <si>
    <t>Bates Women's  Tatical Sports2 Mid Boot, Black,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Built to last with toe and heel outsole stitch
Ideal for:
Size: 11M</t>
  </si>
  <si>
    <t>E03564-5M</t>
  </si>
  <si>
    <t>B-E03564-5M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</si>
  <si>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5M</t>
  </si>
  <si>
    <t>E03564-5.5M</t>
  </si>
  <si>
    <t>B-E03564-5.5M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</si>
  <si>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5.5M</t>
  </si>
  <si>
    <t>E03564-6M</t>
  </si>
  <si>
    <t>B-E03564-6M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</si>
  <si>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6M</t>
  </si>
  <si>
    <t>E03564-6.5M</t>
  </si>
  <si>
    <t>B-E03564-6.5M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</si>
  <si>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6.5M</t>
  </si>
  <si>
    <t>E03564-7M</t>
  </si>
  <si>
    <t>B-E03564-7M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</si>
  <si>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7M</t>
  </si>
  <si>
    <t>E03564-7.5M</t>
  </si>
  <si>
    <t>B-E03564-7.5M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</si>
  <si>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7.5M</t>
  </si>
  <si>
    <t>E03564-8M</t>
  </si>
  <si>
    <t>B-E03564-8M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</si>
  <si>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8M</t>
  </si>
  <si>
    <t>E03564-8.5M</t>
  </si>
  <si>
    <t>B-E03564-8.5M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</si>
  <si>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8.5M</t>
  </si>
  <si>
    <t>E03564-9M</t>
  </si>
  <si>
    <t>B-E03564-9M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</si>
  <si>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9M</t>
  </si>
  <si>
    <t>E03564-9.5M</t>
  </si>
  <si>
    <t>B-E03564-9.5M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</si>
  <si>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9.5M</t>
  </si>
  <si>
    <t>E03564-10M</t>
  </si>
  <si>
    <t>B-E03564-10M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</si>
  <si>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10M</t>
  </si>
  <si>
    <t>E03564-11M</t>
  </si>
  <si>
    <t>B-E03564-11M</t>
  </si>
  <si>
    <t>Bates Women's  Tactical Sport 2 Mid Composite Boot, Black, ASTM F2413-18 rated composite toe, Ground-gripping TacTRAX™ rubber outsole, Full movement ﬂexibility with outsole Flex Channels, Outsole exceeds industry standards for slip resistant and oil resistant, Better ground connection with 11mm heel to toe drop, Energy returning lightweight CMEVA midsole, Built to last with durable full grain leather, Lightweight and strong Performance Denier Polyester, 	Actively pulls moisture away from foot with moisture wicking lining
Ideal for: Service/Duty
Size: 11M</t>
  </si>
  <si>
    <t>E03580-5M</t>
  </si>
  <si>
    <t>B-E03580-5M</t>
  </si>
  <si>
    <t>BATES WOMEN'S  TACTICAL SPORT 2 TALL BOOT</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</si>
  <si>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5M</t>
  </si>
  <si>
    <t>E03580-5.5M</t>
  </si>
  <si>
    <t>B-E03580-5.5M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</si>
  <si>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5.5M</t>
  </si>
  <si>
    <t>E03580-6M</t>
  </si>
  <si>
    <t>B-E03580-6M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</si>
  <si>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6M</t>
  </si>
  <si>
    <t>E03580-6.5M</t>
  </si>
  <si>
    <t>B-E03580-6.5M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</si>
  <si>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6.5M</t>
  </si>
  <si>
    <t>E03580-7M</t>
  </si>
  <si>
    <t>B-E03580-7M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</si>
  <si>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7M</t>
  </si>
  <si>
    <t>E03580-7.5M</t>
  </si>
  <si>
    <t>B-E03580-7.5M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</si>
  <si>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7.5M</t>
  </si>
  <si>
    <t>E03580-8M</t>
  </si>
  <si>
    <t>B-E03580-8M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</si>
  <si>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8M</t>
  </si>
  <si>
    <t>E03580-8.5M</t>
  </si>
  <si>
    <t>B-E03580-8.5M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</si>
  <si>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8.5M</t>
  </si>
  <si>
    <t>E03580-9M</t>
  </si>
  <si>
    <t>B-E03580-9M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</si>
  <si>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9M</t>
  </si>
  <si>
    <t>E03580-9.5M</t>
  </si>
  <si>
    <t>B-E03580-9.5M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</si>
  <si>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9.5M</t>
  </si>
  <si>
    <t>E03580-10M</t>
  </si>
  <si>
    <t>B-E03580-10M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</si>
  <si>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10M</t>
  </si>
  <si>
    <t>E03580-11M</t>
  </si>
  <si>
    <t>B-E03580-11M</t>
  </si>
  <si>
    <t>Bates Women's  Tactical Sport 2 Tall Side Zip Boot, Black, Ground-gripping TacTRAX™ rubber outsole, Full movement ﬂexibility with outsole Flex Channels, Outsole exceeds industry standards for slip resistant and oil resistant, Better ground connection with 11mm heel to toe drop, Quick on/off YKK side zipper, Energy returning lightweight CMEVA midsole, Built to last with durable full grain leather, Lightweight and strong Performance Denier Polyester, Actively pulls moisture away from foot with moisture wicking lining
Ideal for: Service/Duty
Size: 11M</t>
  </si>
  <si>
    <t>E03808-7M</t>
  </si>
  <si>
    <t>B-E03808-7M</t>
  </si>
  <si>
    <t>BATES MEN'S JUMPSTART TALL BOOT</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</si>
  <si>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7M</t>
  </si>
  <si>
    <t>E03808-7EW</t>
  </si>
  <si>
    <t>B-E03808-7EW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</si>
  <si>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7EW</t>
  </si>
  <si>
    <t>E03808-7.5M</t>
  </si>
  <si>
    <t>B-E03808-7.5M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</si>
  <si>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7.5M</t>
  </si>
  <si>
    <t>E03808-7.5EW</t>
  </si>
  <si>
    <t>B-E03808-7.5EW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</si>
  <si>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7.5EW</t>
  </si>
  <si>
    <t>E03808-8M</t>
  </si>
  <si>
    <t>B-E03808-8M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</si>
  <si>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8M</t>
  </si>
  <si>
    <t>E03808-8EW</t>
  </si>
  <si>
    <t>B-E03808-8EW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</si>
  <si>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8EW</t>
  </si>
  <si>
    <t>E03808-8.5M</t>
  </si>
  <si>
    <t>B-E03808-8.5M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</si>
  <si>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8.5M</t>
  </si>
  <si>
    <t>E03808-8.5EW</t>
  </si>
  <si>
    <t>B-E03808-8.5EW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</si>
  <si>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8.5EW</t>
  </si>
  <si>
    <t>E03808-9M</t>
  </si>
  <si>
    <t>B-E03808-9M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</si>
  <si>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9M</t>
  </si>
  <si>
    <t>E03808-9EW</t>
  </si>
  <si>
    <t>B-E03808-9EW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</si>
  <si>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9EW</t>
  </si>
  <si>
    <t>E03808-9.5M</t>
  </si>
  <si>
    <t>B-E03808-9.5M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</si>
  <si>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9.5M</t>
  </si>
  <si>
    <t>E03808-9.5EW</t>
  </si>
  <si>
    <t>B-E03808-9.5EW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</si>
  <si>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9.5EW</t>
  </si>
  <si>
    <t>E03808-10M</t>
  </si>
  <si>
    <t>B-E03808-10M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</si>
  <si>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10M</t>
  </si>
  <si>
    <t>E03808-10EW</t>
  </si>
  <si>
    <t>B-E03808-10EW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</si>
  <si>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10EW</t>
  </si>
  <si>
    <t>E03808-10.5M</t>
  </si>
  <si>
    <t>B-E03808-10.5M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</si>
  <si>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10.5M</t>
  </si>
  <si>
    <t>E03808-10.5EW</t>
  </si>
  <si>
    <t>B-E03808-10.5EW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</si>
  <si>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10.5EW</t>
  </si>
  <si>
    <t>E03808-11M</t>
  </si>
  <si>
    <t>B-E03808-11M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</si>
  <si>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11M</t>
  </si>
  <si>
    <t>E03808-11EW</t>
  </si>
  <si>
    <t>B-E03808-11EW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</si>
  <si>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11EW</t>
  </si>
  <si>
    <t>E03808-11.5M</t>
  </si>
  <si>
    <t>B-E03808-11.5M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</si>
  <si>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11.5M</t>
  </si>
  <si>
    <t>E03808-11.5EW</t>
  </si>
  <si>
    <t>B-E03808-11.5EW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</si>
  <si>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11.5EW</t>
  </si>
  <si>
    <t>E03808-12M</t>
  </si>
  <si>
    <t>B-E03808-12M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</si>
  <si>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12M</t>
  </si>
  <si>
    <t>E03808-12EW</t>
  </si>
  <si>
    <t>B-E03808-12EW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</si>
  <si>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12EW</t>
  </si>
  <si>
    <t>E03808-13M</t>
  </si>
  <si>
    <t>B-E03808-13M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</si>
  <si>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13M</t>
  </si>
  <si>
    <t>E03808-13EW</t>
  </si>
  <si>
    <t>B-E03808-13EW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</si>
  <si>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13EW</t>
  </si>
  <si>
    <t>E03808-14M</t>
  </si>
  <si>
    <t>B-E03808-14M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</si>
  <si>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14M</t>
  </si>
  <si>
    <t>E03808-14EW</t>
  </si>
  <si>
    <t>B-E03808-14EW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</si>
  <si>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14EW</t>
  </si>
  <si>
    <t>E03808-15M</t>
  </si>
  <si>
    <t>B-E03808-15M</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</si>
  <si>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15M</t>
  </si>
  <si>
    <t>E03808-15EW</t>
  </si>
  <si>
    <t>B-E03808-15EW</t>
  </si>
  <si>
    <t>Bates Men's Jumpstart Tall Boot, Coyote, JUMPSTART TACTICAL with ENERGYBOUND explosive rebound foam, 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Waterproof membrane keeps your feet dry, Quick on/off ergonomic side zip
Ideal For: Service/Duty
Size: 15EW</t>
  </si>
  <si>
    <t>E03862-7M</t>
  </si>
  <si>
    <t>B-E03862-7M</t>
  </si>
  <si>
    <t>BATES MEN'S GX X2 MID BOOT</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</si>
  <si>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7M</t>
  </si>
  <si>
    <t>E03862-7EW</t>
  </si>
  <si>
    <t>B-E03862-7EW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</si>
  <si>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7EW</t>
  </si>
  <si>
    <t>E03862-7.5M</t>
  </si>
  <si>
    <t>B-E03862-7.5M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</si>
  <si>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7.5M</t>
  </si>
  <si>
    <t>E03862-7.5EW</t>
  </si>
  <si>
    <t>B-E03862-7.5EW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</si>
  <si>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7.5EW</t>
  </si>
  <si>
    <t>E03862-8M</t>
  </si>
  <si>
    <t>B-E03862-8M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</si>
  <si>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8M</t>
  </si>
  <si>
    <t>E03862-8EW</t>
  </si>
  <si>
    <t>B-E03862-8EW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</si>
  <si>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8EW</t>
  </si>
  <si>
    <t>E03862-8.5M</t>
  </si>
  <si>
    <t>B-E03862-8.5M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</si>
  <si>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8.5M</t>
  </si>
  <si>
    <t>E03862-8.5EW</t>
  </si>
  <si>
    <t>B-E03862-8.5EW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</si>
  <si>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8.5EW</t>
  </si>
  <si>
    <t>E03862-9M</t>
  </si>
  <si>
    <t>B-E03862-9M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</si>
  <si>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9M</t>
  </si>
  <si>
    <t>E03862-9EW</t>
  </si>
  <si>
    <t>B-E03862-9EW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</si>
  <si>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9EW</t>
  </si>
  <si>
    <t>E03862-9.5M</t>
  </si>
  <si>
    <t>B-E03862-9.5M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</si>
  <si>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9.5M</t>
  </si>
  <si>
    <t>E03862-9.5EW</t>
  </si>
  <si>
    <t>B-E03862-9.5EW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</si>
  <si>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9.5EW</t>
  </si>
  <si>
    <t>E03862-10M</t>
  </si>
  <si>
    <t>B-E03862-10M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</si>
  <si>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10M</t>
  </si>
  <si>
    <t>E03862-10EW</t>
  </si>
  <si>
    <t>B-E03862-10EW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</si>
  <si>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10EW</t>
  </si>
  <si>
    <t>E03862-10.5M</t>
  </si>
  <si>
    <t>B-E03862-10.5M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</si>
  <si>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10.5M</t>
  </si>
  <si>
    <t>E03862-10.5EW</t>
  </si>
  <si>
    <t>B-E03862-10.5EW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</si>
  <si>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10.5EW</t>
  </si>
  <si>
    <t>E03862-11M</t>
  </si>
  <si>
    <t>B-E03862-11M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</si>
  <si>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11M</t>
  </si>
  <si>
    <t>E03862-11EW</t>
  </si>
  <si>
    <t>B-E03862-11EW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</si>
  <si>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11EW</t>
  </si>
  <si>
    <t>E03862-11.5M</t>
  </si>
  <si>
    <t>B-E03862-11.5M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</si>
  <si>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11.5M</t>
  </si>
  <si>
    <t>E03862-11.5EW</t>
  </si>
  <si>
    <t>B-E03862-11.5EW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</si>
  <si>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11.5EW</t>
  </si>
  <si>
    <t>E03862-12M</t>
  </si>
  <si>
    <t>B-E03862-12M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</si>
  <si>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12M</t>
  </si>
  <si>
    <t>E03862-12EW</t>
  </si>
  <si>
    <t>B-E03862-12EW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</si>
  <si>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12EW</t>
  </si>
  <si>
    <t>E03862-13M</t>
  </si>
  <si>
    <t>B-E03862-13M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</si>
  <si>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13M</t>
  </si>
  <si>
    <t>E03862-13EW</t>
  </si>
  <si>
    <t>B-E03862-13EW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</si>
  <si>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13EW</t>
  </si>
  <si>
    <t>E03862-14M</t>
  </si>
  <si>
    <t>B-E03862-14M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</si>
  <si>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14M</t>
  </si>
  <si>
    <t>E03862-14EW</t>
  </si>
  <si>
    <t>B-E03862-14EW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</si>
  <si>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14EW</t>
  </si>
  <si>
    <t>E03862-15M</t>
  </si>
  <si>
    <t>B-E03862-15M</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</si>
  <si>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15M</t>
  </si>
  <si>
    <t>E03862-15EW</t>
  </si>
  <si>
    <t>B-E03862-15EW</t>
  </si>
  <si>
    <t>Bates Men's GX X2 DRYGuard+ ™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
Ideal for: Service/Duty
Size: 15EW</t>
  </si>
  <si>
    <t>E03882-3M</t>
  </si>
  <si>
    <t>B-E03882-3M</t>
  </si>
  <si>
    <t>BATES MEN'S GX X2 TALL BOOT</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</si>
  <si>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3M</t>
  </si>
  <si>
    <t>E03882-3.5M</t>
  </si>
  <si>
    <t>B-E03882-3.5M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</si>
  <si>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3.5M</t>
  </si>
  <si>
    <t>E03882-4M</t>
  </si>
  <si>
    <t>B-E03882-4M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</si>
  <si>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4M</t>
  </si>
  <si>
    <t>E03882-4.5M</t>
  </si>
  <si>
    <t>B-E03882-4.5M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</si>
  <si>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4.5M</t>
  </si>
  <si>
    <t>E03882-5M</t>
  </si>
  <si>
    <t>B-E03882-5M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</si>
  <si>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5M</t>
  </si>
  <si>
    <t>E03882-5.5M</t>
  </si>
  <si>
    <t>B-E03882-5.5M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</si>
  <si>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5.5M</t>
  </si>
  <si>
    <t>E03882-6M</t>
  </si>
  <si>
    <t>B-E03882-6M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</si>
  <si>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6M</t>
  </si>
  <si>
    <t>E03882-6.5M</t>
  </si>
  <si>
    <t>B-E03882-6.5M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</si>
  <si>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6.5M</t>
  </si>
  <si>
    <t>E03882-7M</t>
  </si>
  <si>
    <t>B-E03882-7M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</si>
  <si>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7M</t>
  </si>
  <si>
    <t>E03882-7EW</t>
  </si>
  <si>
    <t>B-E03882-7EW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</si>
  <si>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7EW</t>
  </si>
  <si>
    <t>E03882-7.5M</t>
  </si>
  <si>
    <t>B-E03882-7.5M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</si>
  <si>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7.5M</t>
  </si>
  <si>
    <t>E03882-7.5EW</t>
  </si>
  <si>
    <t>B-E03882-7.5EW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</si>
  <si>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7.5EW</t>
  </si>
  <si>
    <t>E03882-8M</t>
  </si>
  <si>
    <t>B-E03882-8M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</si>
  <si>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8M</t>
  </si>
  <si>
    <t>E03882-8EW</t>
  </si>
  <si>
    <t>B-E03882-8EW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</si>
  <si>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8EW</t>
  </si>
  <si>
    <t>E03882-8.5M</t>
  </si>
  <si>
    <t>B-E03882-8.5M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</si>
  <si>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8.5M</t>
  </si>
  <si>
    <t>E03882-8.5EW</t>
  </si>
  <si>
    <t>B-E03882-8.5EW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</si>
  <si>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8.5EW</t>
  </si>
  <si>
    <t>E03882-9M</t>
  </si>
  <si>
    <t>B-E03882-9M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</si>
  <si>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9M</t>
  </si>
  <si>
    <t>E03882-9EW</t>
  </si>
  <si>
    <t>B-E03882-9EW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</si>
  <si>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9EW</t>
  </si>
  <si>
    <t>E03882-9.5M</t>
  </si>
  <si>
    <t>B-E03882-9.5M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</si>
  <si>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9.5M</t>
  </si>
  <si>
    <t>E03882-9.5EW</t>
  </si>
  <si>
    <t>B-E03882-9.5EW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</si>
  <si>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9.5EW</t>
  </si>
  <si>
    <t>E03882-10M</t>
  </si>
  <si>
    <t>B-E03882-10M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</si>
  <si>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10M</t>
  </si>
  <si>
    <t>E03882-10EW</t>
  </si>
  <si>
    <t>B-E03882-10EW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</si>
  <si>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10EW</t>
  </si>
  <si>
    <t>E03882-10.5M</t>
  </si>
  <si>
    <t>B-E03882-10.5M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</si>
  <si>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10.5M</t>
  </si>
  <si>
    <t>E03882-10.5EW</t>
  </si>
  <si>
    <t>B-E03882-10.5EW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</si>
  <si>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10.5EW</t>
  </si>
  <si>
    <t>E03882-11M</t>
  </si>
  <si>
    <t>B-E03882-11M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</si>
  <si>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11M</t>
  </si>
  <si>
    <t>E03882-11EW</t>
  </si>
  <si>
    <t>B-E03882-11EW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</si>
  <si>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11EW</t>
  </si>
  <si>
    <t>E03882-11.5M</t>
  </si>
  <si>
    <t>B-E03882-11.5M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</si>
  <si>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11.5M</t>
  </si>
  <si>
    <t>E03882-11.5EW</t>
  </si>
  <si>
    <t>B-E03882-11.5EW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</si>
  <si>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11.5EW</t>
  </si>
  <si>
    <t>E03882-12M</t>
  </si>
  <si>
    <t>B-E03882-12M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</si>
  <si>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12M</t>
  </si>
  <si>
    <t>E03882-12EW</t>
  </si>
  <si>
    <t>B-E03882-12EW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</si>
  <si>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12EW</t>
  </si>
  <si>
    <t>E03882-13M</t>
  </si>
  <si>
    <t>B-E03882-13M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</si>
  <si>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13M</t>
  </si>
  <si>
    <t>E03882-13EW</t>
  </si>
  <si>
    <t>B-E03882-13EW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</si>
  <si>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13EW</t>
  </si>
  <si>
    <t>E03882-14M</t>
  </si>
  <si>
    <t>B-E03882-14M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</si>
  <si>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14M</t>
  </si>
  <si>
    <t>E03882-14EW</t>
  </si>
  <si>
    <t>B-E03882-14EW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</si>
  <si>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14EW</t>
  </si>
  <si>
    <t>E03882-15M</t>
  </si>
  <si>
    <t>B-E03882-15M</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</si>
  <si>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15M</t>
  </si>
  <si>
    <t>E03882-15EW</t>
  </si>
  <si>
    <t>B-E03882-15EW</t>
  </si>
  <si>
    <t>Bates  Men's Tactical GX X2 DRYGuard Tall Side Zip Boot, Black, Proprietary rubber outsole provides superior traction, Directional outsole lugs allow for lateral response and movement, Multi-directional lugs and siping provide superior traction and ﬂexibility, Highly durable EnergyBound™ cushioning, Lightweight, explosive rebound foam formulated to perform, shift after shift, Waterproof full-grain leather keeps your feet dry, 1680D Performance Polyester is durable, lightweight and fast-drying, Enhanced membrane waterprooﬁng technology blocks the elements
Ideal for: Service/Duty
Size: 15EW</t>
  </si>
  <si>
    <t>E03883-7M</t>
  </si>
  <si>
    <t>B-E03883-7M</t>
  </si>
  <si>
    <t>BATES MEN'S GX X2 TALL ZIP BOOT</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</si>
  <si>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7M</t>
  </si>
  <si>
    <t>E03883-7EW</t>
  </si>
  <si>
    <t>B-E03883-7EW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</si>
  <si>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7EW</t>
  </si>
  <si>
    <t>E03883-7.5M</t>
  </si>
  <si>
    <t>B-E03883-7.5M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</si>
  <si>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7.5M</t>
  </si>
  <si>
    <t>E03883-7.5EW</t>
  </si>
  <si>
    <t>B-E03883-7.5EW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</si>
  <si>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7.5EW</t>
  </si>
  <si>
    <t>E03883-8M</t>
  </si>
  <si>
    <t>B-E03883-8M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</si>
  <si>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8M</t>
  </si>
  <si>
    <t>E03883-8EW</t>
  </si>
  <si>
    <t>B-E03883-8EW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</si>
  <si>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8EW</t>
  </si>
  <si>
    <t>E03883-8.5M</t>
  </si>
  <si>
    <t>B-E03883-8.5M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</si>
  <si>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8.5M</t>
  </si>
  <si>
    <t>E03883-8.5EW</t>
  </si>
  <si>
    <t>B-E03883-8.5EW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</si>
  <si>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8.5EW</t>
  </si>
  <si>
    <t>E03883-9M</t>
  </si>
  <si>
    <t>B-E03883-9M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</si>
  <si>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9M</t>
  </si>
  <si>
    <t>E03883-9EW</t>
  </si>
  <si>
    <t>B-E03883-9EW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</si>
  <si>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9EW</t>
  </si>
  <si>
    <t>E03883-9.5M</t>
  </si>
  <si>
    <t>B-E03883-9.5M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</si>
  <si>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9.5M</t>
  </si>
  <si>
    <t>E03883-9.5EW</t>
  </si>
  <si>
    <t>B-E03883-9.5EW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</si>
  <si>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9.5EW</t>
  </si>
  <si>
    <t>E03883-10M</t>
  </si>
  <si>
    <t>B-E03883-10M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</si>
  <si>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10M</t>
  </si>
  <si>
    <t>E03883-10EW</t>
  </si>
  <si>
    <t>B-E03883-10EW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</si>
  <si>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10EW</t>
  </si>
  <si>
    <t>E03883-10.5M</t>
  </si>
  <si>
    <t>B-E03883-10.5M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</si>
  <si>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10.5M</t>
  </si>
  <si>
    <t>E03883-10.5EW</t>
  </si>
  <si>
    <t>B-E03883-10.5EW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</si>
  <si>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10.5EW</t>
  </si>
  <si>
    <t>E03883-11M</t>
  </si>
  <si>
    <t>B-E03883-11M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</si>
  <si>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11M</t>
  </si>
  <si>
    <t>E03883-11EW</t>
  </si>
  <si>
    <t>B-E03883-11EW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</si>
  <si>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11EW</t>
  </si>
  <si>
    <t>E03883-11.5M</t>
  </si>
  <si>
    <t>B-E03883-11.5M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</si>
  <si>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11.5M</t>
  </si>
  <si>
    <t>E03883-11.5EW</t>
  </si>
  <si>
    <t>B-E03883-11.5EW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</si>
  <si>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11.5EW</t>
  </si>
  <si>
    <t>E03883-12M</t>
  </si>
  <si>
    <t>B-E03883-12M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</si>
  <si>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12M</t>
  </si>
  <si>
    <t>E03883-12EW</t>
  </si>
  <si>
    <t>B-E03883-12EW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</si>
  <si>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12EW</t>
  </si>
  <si>
    <t>E03883-13M</t>
  </si>
  <si>
    <t>B-E03883-13M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</si>
  <si>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13M</t>
  </si>
  <si>
    <t>E03883-13EW</t>
  </si>
  <si>
    <t>B-E03883-13EW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</si>
  <si>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13EW</t>
  </si>
  <si>
    <t>E03883-14M</t>
  </si>
  <si>
    <t>B-E03883-14M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</si>
  <si>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14M</t>
  </si>
  <si>
    <t>E03883-14EW</t>
  </si>
  <si>
    <t>B-E03883-14EW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</si>
  <si>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14EW</t>
  </si>
  <si>
    <t>E03883-15M</t>
  </si>
  <si>
    <t>B-E03883-15M</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</si>
  <si>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15M</t>
  </si>
  <si>
    <t>E03883-15EW</t>
  </si>
  <si>
    <t>B-E03883-15EW</t>
  </si>
  <si>
    <t>Bates Men's GX X2 Tall Zip DRYGuard+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15EW</t>
  </si>
  <si>
    <t>E03884-7M</t>
  </si>
  <si>
    <t>B-E03884-7M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</si>
  <si>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7M</t>
  </si>
  <si>
    <t>E03884-7EW</t>
  </si>
  <si>
    <t>B-E03884-7EW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</si>
  <si>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7EW</t>
  </si>
  <si>
    <t>E03884-7.5M</t>
  </si>
  <si>
    <t>B-E03884-7.5M</t>
  </si>
  <si>
    <t>E03884-7.5EW</t>
  </si>
  <si>
    <t>B-E03884-7.5EW</t>
  </si>
  <si>
    <t>E03884-8M</t>
  </si>
  <si>
    <t>B-E03884-8M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</si>
  <si>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8M</t>
  </si>
  <si>
    <t>E03884-8EW</t>
  </si>
  <si>
    <t>B-E03884-8EW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</si>
  <si>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8EW</t>
  </si>
  <si>
    <t>E03884-8.5M</t>
  </si>
  <si>
    <t>B-E03884-8.5M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</si>
  <si>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8.5M</t>
  </si>
  <si>
    <t>E03884-8.5EW</t>
  </si>
  <si>
    <t>B-E03884-8.5EW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</si>
  <si>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8.5EW</t>
  </si>
  <si>
    <t>E03884-9M</t>
  </si>
  <si>
    <t>B-E03884-9M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</si>
  <si>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9M</t>
  </si>
  <si>
    <t>E03884-9EW</t>
  </si>
  <si>
    <t>B-E03884-9EW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</si>
  <si>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9EW</t>
  </si>
  <si>
    <t>E03884-9.5M</t>
  </si>
  <si>
    <t>B-E03884-9.5M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</si>
  <si>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9.5M</t>
  </si>
  <si>
    <t>E03884-9.5EW</t>
  </si>
  <si>
    <t>B-E03884-9.5EW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</si>
  <si>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9.5EW</t>
  </si>
  <si>
    <t>E03884-10M</t>
  </si>
  <si>
    <t>B-E03884-10M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</si>
  <si>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10M</t>
  </si>
  <si>
    <t>E03884-10EW</t>
  </si>
  <si>
    <t>B-E03884-10EW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</si>
  <si>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10EW</t>
  </si>
  <si>
    <t>E03884-10.5M</t>
  </si>
  <si>
    <t>B-E03884-10.5M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</si>
  <si>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10.5M</t>
  </si>
  <si>
    <t>E03884-10.5EW</t>
  </si>
  <si>
    <t>B-E03884-10.5EW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</si>
  <si>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10.5EW</t>
  </si>
  <si>
    <t>E03884-11M</t>
  </si>
  <si>
    <t>B-E03884-11M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</si>
  <si>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11EW</t>
  </si>
  <si>
    <t>E03884-11EW</t>
  </si>
  <si>
    <t>B-E03884-11EW</t>
  </si>
  <si>
    <t>E03884-11.5M</t>
  </si>
  <si>
    <t>B-E03884-11.5M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</si>
  <si>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11.5M</t>
  </si>
  <si>
    <t>E03884-11.5EW</t>
  </si>
  <si>
    <t>B-E03884-11.5EW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</si>
  <si>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11.5EW</t>
  </si>
  <si>
    <t>E03884-12M</t>
  </si>
  <si>
    <t>B-E03884-12M</t>
  </si>
  <si>
    <t>E03884-12EW</t>
  </si>
  <si>
    <t>B-E03884-12EW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</si>
  <si>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12EW</t>
  </si>
  <si>
    <t>E03884-13M</t>
  </si>
  <si>
    <t>B-E03884-13M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</si>
  <si>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13M</t>
  </si>
  <si>
    <t>E03884-13EW</t>
  </si>
  <si>
    <t>B-E03884-13EW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</si>
  <si>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13EW</t>
  </si>
  <si>
    <t>E03884-14M</t>
  </si>
  <si>
    <t>B-E03884-14M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</si>
  <si>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14M</t>
  </si>
  <si>
    <t>E03884-14EW</t>
  </si>
  <si>
    <t>B-E03884-14EW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</si>
  <si>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14EW</t>
  </si>
  <si>
    <t>E03884-15M</t>
  </si>
  <si>
    <t>B-E03884-15M</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</si>
  <si>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15M</t>
  </si>
  <si>
    <t>E03884-15EW</t>
  </si>
  <si>
    <t>B-E03884-15EW</t>
  </si>
  <si>
    <t>Bates Men's GX X2 Tall Zip DRYGuard+ Boot, Sage,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15EW</t>
  </si>
  <si>
    <t>E03886-7M</t>
  </si>
  <si>
    <t>B-E03886-7M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</si>
  <si>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7M</t>
  </si>
  <si>
    <t>E03886-7EW</t>
  </si>
  <si>
    <t>B-E03886-7EW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</si>
  <si>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7EW</t>
  </si>
  <si>
    <t>E03886-7.5M</t>
  </si>
  <si>
    <t>B-E03886-7.5M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</si>
  <si>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7.5M</t>
  </si>
  <si>
    <t>E03886-7.5EW</t>
  </si>
  <si>
    <t>B-E03886-7.5EW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</si>
  <si>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7.5EW</t>
  </si>
  <si>
    <t>E03886-8M</t>
  </si>
  <si>
    <t>B-E03886-8M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</si>
  <si>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8M</t>
  </si>
  <si>
    <t>E03886-8EW</t>
  </si>
  <si>
    <t>B-E03886-8EW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</si>
  <si>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8EW</t>
  </si>
  <si>
    <t>E03886-8.5M</t>
  </si>
  <si>
    <t>B-E03886-8.5M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</si>
  <si>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8.5M</t>
  </si>
  <si>
    <t>E03886-8.5EW</t>
  </si>
  <si>
    <t>B-E03886-8.5EW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</si>
  <si>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8.5EW</t>
  </si>
  <si>
    <t>E03886-9M</t>
  </si>
  <si>
    <t>B-E03886-9M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</si>
  <si>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9M</t>
  </si>
  <si>
    <t>E03886-9EW</t>
  </si>
  <si>
    <t>B-E03886-9EW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</si>
  <si>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9EW</t>
  </si>
  <si>
    <t>E03886-9.5M</t>
  </si>
  <si>
    <t>B-E03886-9.5M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</si>
  <si>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9.5M</t>
  </si>
  <si>
    <t>E03886-9.5EW</t>
  </si>
  <si>
    <t>B-E03886-9.5EW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</si>
  <si>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9.5EW</t>
  </si>
  <si>
    <t>E03886-10M</t>
  </si>
  <si>
    <t>B-E03886-10M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</si>
  <si>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10M</t>
  </si>
  <si>
    <t>E03886-10EW</t>
  </si>
  <si>
    <t>B-E03886-10EW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</si>
  <si>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10EW</t>
  </si>
  <si>
    <t>E03886-10.5M</t>
  </si>
  <si>
    <t>B-E03886-10.5M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</si>
  <si>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10.5M</t>
  </si>
  <si>
    <t>E03886-10.5EW</t>
  </si>
  <si>
    <t>B-E03886-10.5EW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</si>
  <si>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10.5EW</t>
  </si>
  <si>
    <t>E03886-11M</t>
  </si>
  <si>
    <t>B-E03886-11M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</si>
  <si>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11M</t>
  </si>
  <si>
    <t>E03886-11EW</t>
  </si>
  <si>
    <t>B-E03886-11EW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</si>
  <si>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11EW</t>
  </si>
  <si>
    <t>E03886-11.5M</t>
  </si>
  <si>
    <t>B-E03886-11.5M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</si>
  <si>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11.5M</t>
  </si>
  <si>
    <t>E03886-11.5EW</t>
  </si>
  <si>
    <t>B-E03886-11.5EW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</si>
  <si>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11.5EW</t>
  </si>
  <si>
    <t>E03886-12M</t>
  </si>
  <si>
    <t>B-E03886-12M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</si>
  <si>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12M</t>
  </si>
  <si>
    <t>E03886-12EW</t>
  </si>
  <si>
    <t>B-E03886-12EW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</si>
  <si>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12EW</t>
  </si>
  <si>
    <t>E03886-13M</t>
  </si>
  <si>
    <t>B-E03886-13M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</si>
  <si>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13M</t>
  </si>
  <si>
    <t>E03886-13EW</t>
  </si>
  <si>
    <t>B-E03886-13EW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</si>
  <si>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13EW</t>
  </si>
  <si>
    <t>E03886-14M</t>
  </si>
  <si>
    <t>B-E03886-14M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</si>
  <si>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14M</t>
  </si>
  <si>
    <t>E03886-14EW</t>
  </si>
  <si>
    <t>B-E03886-14EW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</si>
  <si>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14EW</t>
  </si>
  <si>
    <t>E03886-15M</t>
  </si>
  <si>
    <t>B-E03886-15M</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</si>
  <si>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15M</t>
  </si>
  <si>
    <t>E03886-15EW</t>
  </si>
  <si>
    <t>B-E03886-15EW</t>
  </si>
  <si>
    <t>Bates Men's GX X2 DRYGuard+ ™ Carbon Toe Boot, Black, Proprietary rubber outsole provides superior traction, Directional outsole lugs allow for lateral response and movement, Multi-directional lugs and siping provide superior traction and flexibility, Highly durable EnergyBound™ cushioning. Lightweight, explosive rebound foam formulated to perform, shift aftershift, Waterproof full-grain leather keeps your feet dry, 1680D Performance Polyester is durable, lightweight, and fast-drying, Enhanced membrane waterproofing technology blocks the elementsand resists blood-borne pathogens with better breathability over time
Ideal for: Service/Duty
Size: 15EW</t>
  </si>
  <si>
    <t>E03888-4M</t>
  </si>
  <si>
    <t>B-E03888-4M</t>
  </si>
  <si>
    <t>BATES MEN'S GX X2 BOOT</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</si>
  <si>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4M</t>
  </si>
  <si>
    <t>E03888-4EW</t>
  </si>
  <si>
    <t>B-E03888-4EW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</si>
  <si>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4EW</t>
  </si>
  <si>
    <t>E03888-4.5M</t>
  </si>
  <si>
    <t>B-E03888-4.5M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</si>
  <si>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4.5M</t>
  </si>
  <si>
    <t>E03888-4.5EW</t>
  </si>
  <si>
    <t>B-E03888-4.5EW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</si>
  <si>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4.5EW</t>
  </si>
  <si>
    <t>E03888-5M</t>
  </si>
  <si>
    <t>B-E03888-5M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</si>
  <si>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5M</t>
  </si>
  <si>
    <t>E03888-5EW</t>
  </si>
  <si>
    <t>B-E03888-5EW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</si>
  <si>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5EW</t>
  </si>
  <si>
    <t>E03888-5.5M</t>
  </si>
  <si>
    <t>B-E03888-5.5M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</si>
  <si>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5.5M</t>
  </si>
  <si>
    <t>E03888-5.5EW</t>
  </si>
  <si>
    <t>B-E03888-5.5EW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</si>
  <si>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5.5EW</t>
  </si>
  <si>
    <t>E03888-6M</t>
  </si>
  <si>
    <t>B-E03888-6M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</si>
  <si>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6M</t>
  </si>
  <si>
    <t>E03888-6EW</t>
  </si>
  <si>
    <t>B-E03888-6EW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</si>
  <si>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6EW</t>
  </si>
  <si>
    <t>E03888-6.5M</t>
  </si>
  <si>
    <t>B-E03888-6.5M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</si>
  <si>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6.5M</t>
  </si>
  <si>
    <t>E03888-6.5EW</t>
  </si>
  <si>
    <t>B-E03888-6.5EW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</si>
  <si>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6.5EW</t>
  </si>
  <si>
    <t>E03888-7M</t>
  </si>
  <si>
    <t>B-E03888-7M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</si>
  <si>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7M</t>
  </si>
  <si>
    <t>E03888-7EW</t>
  </si>
  <si>
    <t>B-E03888-7EW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</si>
  <si>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7EW</t>
  </si>
  <si>
    <t>E03888-7.5M</t>
  </si>
  <si>
    <t>B-E03888-7.5M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</si>
  <si>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7.5M</t>
  </si>
  <si>
    <t>E03888-7.5EW</t>
  </si>
  <si>
    <t>B-E03888-7.5EW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</si>
  <si>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7.5EW</t>
  </si>
  <si>
    <t>E03888-8M</t>
  </si>
  <si>
    <t>B-E03888-8M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</si>
  <si>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8M</t>
  </si>
  <si>
    <t>E03888-8EW</t>
  </si>
  <si>
    <t>B-E03888-8EW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</si>
  <si>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8EW</t>
  </si>
  <si>
    <t>E03888-8.5M</t>
  </si>
  <si>
    <t>B-E03888-8.5M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</si>
  <si>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8.5M</t>
  </si>
  <si>
    <t>E03888-8.5EW</t>
  </si>
  <si>
    <t>B-E03888-8.5EW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</si>
  <si>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8.5EW</t>
  </si>
  <si>
    <t>E03888-9M</t>
  </si>
  <si>
    <t>B-E03888-9M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</si>
  <si>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9M</t>
  </si>
  <si>
    <t>E03888-9EW</t>
  </si>
  <si>
    <t>B-E03888-9EW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</si>
  <si>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9EW</t>
  </si>
  <si>
    <t>E03888-9.5M</t>
  </si>
  <si>
    <t>B-E03888-9.5M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</si>
  <si>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9.5M</t>
  </si>
  <si>
    <t>E03888-9.5EW</t>
  </si>
  <si>
    <t>B-E03888-9.5EW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</si>
  <si>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9.5EW</t>
  </si>
  <si>
    <t>E03888-10M</t>
  </si>
  <si>
    <t>B-E03888-10M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</si>
  <si>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10M</t>
  </si>
  <si>
    <t>E03888-10EW</t>
  </si>
  <si>
    <t>B-E03888-10EW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</si>
  <si>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10EW</t>
  </si>
  <si>
    <t>E03888-10.5M</t>
  </si>
  <si>
    <t>B-E03888-10.5M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</si>
  <si>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10.5M</t>
  </si>
  <si>
    <t>E03888-10.5EW</t>
  </si>
  <si>
    <t>B-E03888-10.5EW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</si>
  <si>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10.5EW</t>
  </si>
  <si>
    <t>E03888-11M</t>
  </si>
  <si>
    <t>B-E03888-11M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</si>
  <si>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11M</t>
  </si>
  <si>
    <t>E03888-11EW</t>
  </si>
  <si>
    <t>B-E03888-11EW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</si>
  <si>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11EW</t>
  </si>
  <si>
    <t>E03888-11.5M</t>
  </si>
  <si>
    <t>B-E03888-11.5M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</si>
  <si>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11.5M</t>
  </si>
  <si>
    <t>E03888-11.5EW</t>
  </si>
  <si>
    <t>B-E03888-11.5EW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</si>
  <si>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11.5EW</t>
  </si>
  <si>
    <t>E03888-12M</t>
  </si>
  <si>
    <t>B-E03888-12M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</si>
  <si>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12M</t>
  </si>
  <si>
    <t>E03888-12EW</t>
  </si>
  <si>
    <t>B-E03888-12EW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</si>
  <si>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12EW</t>
  </si>
  <si>
    <t>E03888-13M</t>
  </si>
  <si>
    <t>B-E03888-13M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</si>
  <si>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13M</t>
  </si>
  <si>
    <t>E03888-13EW</t>
  </si>
  <si>
    <t>B-E03888-13EW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</si>
  <si>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13EW</t>
  </si>
  <si>
    <t>E03888-14M</t>
  </si>
  <si>
    <t>B-E03888-14M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</si>
  <si>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14M</t>
  </si>
  <si>
    <t>E03888-14EW</t>
  </si>
  <si>
    <t>B-E03888-14EW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</si>
  <si>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14EW</t>
  </si>
  <si>
    <t>E03888-15M</t>
  </si>
  <si>
    <t>B-E03888-15M</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</si>
  <si>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15M</t>
  </si>
  <si>
    <t>E03888-15EW</t>
  </si>
  <si>
    <t>B-E03888-15EW</t>
  </si>
  <si>
    <t>Bates Men's GX X2 DRYGuard+ Boot, Black, Durable Suede Leather and Performance Nylon Upper, Moisture wicking mesh lining to keep your feet dry, Cushioned Removable Insert for Added underfoot Comfort, YKK® side zipper for easy on and off, Lightweight cushioned EVA midsole to deliver ﬂexibility and performance, Non Metallic ASTM F2413-11 Rated Composite Toe for protection on the job, Slip Resistant Rubber Outsole for added traction
Ideal For: Service/Duty
Size: 15EW</t>
  </si>
  <si>
    <t>E03962-5M</t>
  </si>
  <si>
    <t>B-E03962-5M</t>
  </si>
  <si>
    <t>BATES WOMEN'S  GX X2 MID DRYGUARD BOOT</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</si>
  <si>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5M</t>
  </si>
  <si>
    <t>E03962-5.5M</t>
  </si>
  <si>
    <t>B-E03962-5.5M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</si>
  <si>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5.5M</t>
  </si>
  <si>
    <t>E03962-6M</t>
  </si>
  <si>
    <t>B-E03962-6M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</si>
  <si>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6M</t>
  </si>
  <si>
    <t>E03962-6.5M</t>
  </si>
  <si>
    <t>B-E03962-6.5M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</si>
  <si>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6.5M</t>
  </si>
  <si>
    <t>E03962-7M</t>
  </si>
  <si>
    <t>B-E03962-7M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</si>
  <si>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7M</t>
  </si>
  <si>
    <t>E03962-7.5M</t>
  </si>
  <si>
    <t>B-E03962-7.5M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</si>
  <si>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7.5M</t>
  </si>
  <si>
    <t>E03962-8M</t>
  </si>
  <si>
    <t>B-E03962-8M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</si>
  <si>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8M</t>
  </si>
  <si>
    <t>E03962-8.5M</t>
  </si>
  <si>
    <t>B-E03962-8.5M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</si>
  <si>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8.5M</t>
  </si>
  <si>
    <t>E03962-9M</t>
  </si>
  <si>
    <t>B-E03962-9M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</si>
  <si>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9M</t>
  </si>
  <si>
    <t>E03962-9.5M</t>
  </si>
  <si>
    <t>B-E03962-9.5M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</si>
  <si>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9.5M</t>
  </si>
  <si>
    <t>E03962-10M</t>
  </si>
  <si>
    <t>B-E03962-10M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</si>
  <si>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10M</t>
  </si>
  <si>
    <t>E03962-11M</t>
  </si>
  <si>
    <t>B-E03962-11M</t>
  </si>
  <si>
    <t>Bates Women's  GX X2 Mid DRYGuard+ Boot, Black, Built with Bates DRYGuard+ ™ to defend against bloodborne pathogens, waterproof technology to keep water out, and an ENERGYBOUND™ foam midsole that delivers unmatched cushioning and support. An all-new responsive X-TRACTION rubber outsole gives you maximum grip and maneuverability over any terrain. Easy to Clean High Gloss Upper, Mesh Lining for Added Breathability, Lightweight Slip Resistant Rubberlon Outsole
Ideal for: Service/Duty
Width:
Gender:Size: 11M</t>
  </si>
  <si>
    <t>E03982-5M</t>
  </si>
  <si>
    <t>B-E03982-5M</t>
  </si>
  <si>
    <t>BATES WOMEN'S  GX X2 TALL DRYGUARD BOOT</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</si>
  <si>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5M</t>
  </si>
  <si>
    <t>E03982-5.5M</t>
  </si>
  <si>
    <t>B-E03982-5.5M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</si>
  <si>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5.5M</t>
  </si>
  <si>
    <t>E03982-6M</t>
  </si>
  <si>
    <t>B-E03982-6M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</si>
  <si>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6M</t>
  </si>
  <si>
    <t>E03982-6.5M</t>
  </si>
  <si>
    <t>B-E03982-6.5M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</si>
  <si>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6.5M</t>
  </si>
  <si>
    <t>E03982-7M</t>
  </si>
  <si>
    <t>B-E03982-7M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</si>
  <si>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7M</t>
  </si>
  <si>
    <t>E03982-7.5M</t>
  </si>
  <si>
    <t>B-E03982-7.5M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</si>
  <si>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7.5M</t>
  </si>
  <si>
    <t>E03982-8M</t>
  </si>
  <si>
    <t>B-E03982-8M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</si>
  <si>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8M</t>
  </si>
  <si>
    <t>E03982-8.5M</t>
  </si>
  <si>
    <t>B-E03982-8.5M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</si>
  <si>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8.5M</t>
  </si>
  <si>
    <t>E03982-9M</t>
  </si>
  <si>
    <t>B-E03982-9M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</si>
  <si>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9M</t>
  </si>
  <si>
    <t>E03982-9.5M</t>
  </si>
  <si>
    <t>B-E03982-9.5M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</si>
  <si>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9.5M</t>
  </si>
  <si>
    <t>E03982-10M</t>
  </si>
  <si>
    <t>B-E03982-10M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</si>
  <si>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10M</t>
  </si>
  <si>
    <t>E03982-11M</t>
  </si>
  <si>
    <t>B-E03982-11M</t>
  </si>
  <si>
    <t>Bates Women's  GX X2 Tall DRYGuard+ Boot, Black, Built with Bates DRYGuard+ ™ to defend against bloodborne pathogens, waterproof technology to keep water out, and an ENERGYBOUND™ foam midsole that delivers unmatched cushioning and support.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11M</t>
  </si>
  <si>
    <t>E04272-4M</t>
  </si>
  <si>
    <t>B-E04272-4M</t>
  </si>
  <si>
    <t>BATES MEN'S GX SAFETY TOE BOOT- COYOTE</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</si>
  <si>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4M</t>
  </si>
  <si>
    <t>E04272-4.5M</t>
  </si>
  <si>
    <t>B-E04272-4.5M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</si>
  <si>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4.5M</t>
  </si>
  <si>
    <t>E04272-5M</t>
  </si>
  <si>
    <t>B-E04272-5M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</si>
  <si>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5M</t>
  </si>
  <si>
    <t>E04272-5.5M</t>
  </si>
  <si>
    <t>B-E04272-5.5M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</si>
  <si>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5.5M</t>
  </si>
  <si>
    <t>E04272-6M</t>
  </si>
  <si>
    <t>B-E04272-6M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</si>
  <si>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6M</t>
  </si>
  <si>
    <t>E04272-6.5M</t>
  </si>
  <si>
    <t>B-E04272-6.5M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</si>
  <si>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6.5M</t>
  </si>
  <si>
    <t>E04272-7M</t>
  </si>
  <si>
    <t>B-E04272-7M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</si>
  <si>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7M</t>
  </si>
  <si>
    <t>E04272-7EW</t>
  </si>
  <si>
    <t>B-E04272-7EW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</si>
  <si>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7EW</t>
  </si>
  <si>
    <t>E04272-7.5M</t>
  </si>
  <si>
    <t>B-E04272-7.5M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</si>
  <si>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7.5M</t>
  </si>
  <si>
    <t>E04272-7.5EW</t>
  </si>
  <si>
    <t>B-E04272-7.5EW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</si>
  <si>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7.5EW</t>
  </si>
  <si>
    <t>E04272-8M</t>
  </si>
  <si>
    <t>B-E04272-8M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</si>
  <si>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8M</t>
  </si>
  <si>
    <t>E04272-8EW</t>
  </si>
  <si>
    <t>B-E04272-8EW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</si>
  <si>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8EW</t>
  </si>
  <si>
    <t>E04272-8.5M</t>
  </si>
  <si>
    <t>B-E04272-8.5M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</si>
  <si>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8.5M</t>
  </si>
  <si>
    <t>E04272-8.5EW</t>
  </si>
  <si>
    <t>B-E04272-8.5EW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</si>
  <si>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8.5EW</t>
  </si>
  <si>
    <t>E04272-9M</t>
  </si>
  <si>
    <t>B-E04272-9M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</si>
  <si>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9M</t>
  </si>
  <si>
    <t>E04272-9EW</t>
  </si>
  <si>
    <t>B-E04272-9EW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</si>
  <si>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9EW</t>
  </si>
  <si>
    <t>E04272-9.5M</t>
  </si>
  <si>
    <t>B-E04272-9.5M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</si>
  <si>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9.5M</t>
  </si>
  <si>
    <t>E04272-9.5EW</t>
  </si>
  <si>
    <t>B-E04272-9.5EW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</si>
  <si>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9.5EW</t>
  </si>
  <si>
    <t>E04272-10M</t>
  </si>
  <si>
    <t>B-E04272-10M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</si>
  <si>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10M</t>
  </si>
  <si>
    <t>E04272-10EW</t>
  </si>
  <si>
    <t>B-E04272-10EW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</si>
  <si>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10EW</t>
  </si>
  <si>
    <t>E04272-10.5M</t>
  </si>
  <si>
    <t>B-E04272-10.5M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</si>
  <si>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10.5M</t>
  </si>
  <si>
    <t>E04272-10.5EW</t>
  </si>
  <si>
    <t>B-E04272-10.5EW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</si>
  <si>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10.5EW</t>
  </si>
  <si>
    <t>E04272-11M</t>
  </si>
  <si>
    <t>B-E04272-11M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</si>
  <si>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11M</t>
  </si>
  <si>
    <t>E04272-11EW</t>
  </si>
  <si>
    <t>B-E04272-11EW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</si>
  <si>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11EW</t>
  </si>
  <si>
    <t>E04272-11.5M</t>
  </si>
  <si>
    <t>B-E04272-11.5M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</si>
  <si>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11.5M</t>
  </si>
  <si>
    <t>E04272-11.5EW</t>
  </si>
  <si>
    <t>B-E04272-11.5EW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</si>
  <si>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11.5EW</t>
  </si>
  <si>
    <t>E04272-12M</t>
  </si>
  <si>
    <t>B-E04272-12M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</si>
  <si>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12M</t>
  </si>
  <si>
    <t>E04272-12EW</t>
  </si>
  <si>
    <t>B-E04272-12EW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</si>
  <si>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12EW</t>
  </si>
  <si>
    <t>E04272-13M</t>
  </si>
  <si>
    <t>B-E04272-13M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</si>
  <si>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13M</t>
  </si>
  <si>
    <t>E04272-13EW</t>
  </si>
  <si>
    <t>B-E04272-13EW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</si>
  <si>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13EW</t>
  </si>
  <si>
    <t>E04272-14M</t>
  </si>
  <si>
    <t>B-E04272-14M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</si>
  <si>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14M</t>
  </si>
  <si>
    <t>E04272-14EW</t>
  </si>
  <si>
    <t>B-E04272-14EW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</si>
  <si>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14EW</t>
  </si>
  <si>
    <t>E04272-15M</t>
  </si>
  <si>
    <t>B-E04272-15M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</si>
  <si>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15M</t>
  </si>
  <si>
    <t>E04272-15EW</t>
  </si>
  <si>
    <t>B-E04272-15EW</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</si>
  <si>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15EW</t>
  </si>
  <si>
    <t>E04272-16M</t>
  </si>
  <si>
    <t>B-E04272-16M</t>
  </si>
  <si>
    <t>Bates Men's GX Safety Toe Boot, Coyote, Full grain waterproof Nubuck leather with 1680 Denier Ballistic Nylon, Breathable Waterproof Membrane with Moisture Wicking Lining to keep your feet dry, Cushioned Removable Insert for Added underfoot Comfort, YKK® side zipper for easy on and off, Lightweight cushioned EVA midsole to deliver ﬂexibility and performance, Non Metallic ASTM F2413-11 Rated Composite Toe for protection on the job
Ideal For: Service/Duty
Size: 16M</t>
  </si>
  <si>
    <t>E07840-5M</t>
  </si>
  <si>
    <t>B-E07840-5M</t>
  </si>
  <si>
    <t>BATES WOMEN'S  SENTRY OXFORD HIGH SHINE</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</si>
  <si>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5M</t>
  </si>
  <si>
    <t>E07840-5W</t>
  </si>
  <si>
    <t>B-E07840-5W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</si>
  <si>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5W</t>
  </si>
  <si>
    <t>E07840-5.5M</t>
  </si>
  <si>
    <t>B-E07840-5.5M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</si>
  <si>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5.5M</t>
  </si>
  <si>
    <t>E07840-5.5W</t>
  </si>
  <si>
    <t>B-E07840-5.5W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</si>
  <si>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5.5W</t>
  </si>
  <si>
    <t>E07840-6M</t>
  </si>
  <si>
    <t>B-E07840-6M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</si>
  <si>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6M</t>
  </si>
  <si>
    <t>E07840-6W</t>
  </si>
  <si>
    <t>B-E07840-6W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</si>
  <si>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6W</t>
  </si>
  <si>
    <t>E07840-6.5M</t>
  </si>
  <si>
    <t>B-E07840-6.5M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</si>
  <si>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6.5M</t>
  </si>
  <si>
    <t>E07840-6.5W</t>
  </si>
  <si>
    <t>B-E07840-6.5W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</si>
  <si>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6.5W</t>
  </si>
  <si>
    <t>E07840-7M</t>
  </si>
  <si>
    <t>B-E07840-7M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</si>
  <si>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7M</t>
  </si>
  <si>
    <t>E07840-7W</t>
  </si>
  <si>
    <t>B-E07840-7W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</si>
  <si>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7W</t>
  </si>
  <si>
    <t>E07840-7.5M</t>
  </si>
  <si>
    <t>B-E07840-7.5M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</si>
  <si>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7.5M</t>
  </si>
  <si>
    <t>E07840-7.5W</t>
  </si>
  <si>
    <t>B-E07840-7.5W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</si>
  <si>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7.5W</t>
  </si>
  <si>
    <t>E07840-8M</t>
  </si>
  <si>
    <t>B-E07840-8M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</si>
  <si>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8M</t>
  </si>
  <si>
    <t>E07840-8W</t>
  </si>
  <si>
    <t>B-E07840-8W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</si>
  <si>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8W</t>
  </si>
  <si>
    <t>E07840-8.5M</t>
  </si>
  <si>
    <t>B-E07840-8.5M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</si>
  <si>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8.5M</t>
  </si>
  <si>
    <t>E07840-8.5W</t>
  </si>
  <si>
    <t>B-E07840-8.5W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</si>
  <si>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8.5W</t>
  </si>
  <si>
    <t>E07840-9M</t>
  </si>
  <si>
    <t>B-E07840-9M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</si>
  <si>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9M</t>
  </si>
  <si>
    <t>E07840-9W</t>
  </si>
  <si>
    <t>B-E07840-9W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</si>
  <si>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9W</t>
  </si>
  <si>
    <t>E07840-9.5M</t>
  </si>
  <si>
    <t>B-E07840-9.5M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</si>
  <si>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9.5M</t>
  </si>
  <si>
    <t>E07840-9.5W</t>
  </si>
  <si>
    <t>B-E07840-9.5W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</si>
  <si>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9.5W</t>
  </si>
  <si>
    <t>E07840-10M</t>
  </si>
  <si>
    <t>B-E07840-10M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</si>
  <si>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10M</t>
  </si>
  <si>
    <t>E07840-10W</t>
  </si>
  <si>
    <t>B-E07840-10W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</si>
  <si>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10W</t>
  </si>
  <si>
    <t>E07840-11M</t>
  </si>
  <si>
    <t>B-E07840-11M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</si>
  <si>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11M</t>
  </si>
  <si>
    <t>E07840-11W</t>
  </si>
  <si>
    <t>B-E07840-11W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</si>
  <si>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11W</t>
  </si>
  <si>
    <t>E07840-12M</t>
  </si>
  <si>
    <t>B-E07840-12M</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</si>
  <si>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12M</t>
  </si>
  <si>
    <t>E07840-12W</t>
  </si>
  <si>
    <t>B-E07840-12W</t>
  </si>
  <si>
    <t>Bates Women's  Sentry Oxford High Shine Shoe, Black, Built to last with durable full-grain leather, Lightweight and strong Performance Denier Polyester, Easy on/off YKK side zipper,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Ideal for: Service/Duty
Size: 12W</t>
  </si>
  <si>
    <t>E07842-5M</t>
  </si>
  <si>
    <t>B-E07842-5M</t>
  </si>
  <si>
    <t>BATES WOMEN'S  SENTRY OXFORD GLOSS SHOE</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</si>
  <si>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5M</t>
  </si>
  <si>
    <t>E07842-5W</t>
  </si>
  <si>
    <t>B-E07842-5W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</si>
  <si>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5W</t>
  </si>
  <si>
    <t>E07842-5.5M</t>
  </si>
  <si>
    <t>B-E07842-5.5M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</si>
  <si>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5.5M</t>
  </si>
  <si>
    <t>E07842-5.5W</t>
  </si>
  <si>
    <t>B-E07842-5.5W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</si>
  <si>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5.5W</t>
  </si>
  <si>
    <t>E07842-6M</t>
  </si>
  <si>
    <t>B-E07842-6M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</si>
  <si>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6M</t>
  </si>
  <si>
    <t>E07842-6W</t>
  </si>
  <si>
    <t>B-E07842-6W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</si>
  <si>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6W</t>
  </si>
  <si>
    <t>E07842-6.5M</t>
  </si>
  <si>
    <t>B-E07842-6.5M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</si>
  <si>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6.5M</t>
  </si>
  <si>
    <t>E07842-6.5W</t>
  </si>
  <si>
    <t>B-E07842-6.5W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</si>
  <si>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6.5W</t>
  </si>
  <si>
    <t>E07842-7M</t>
  </si>
  <si>
    <t>B-E07842-7M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</si>
  <si>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7M</t>
  </si>
  <si>
    <t>E07842-7W</t>
  </si>
  <si>
    <t>B-E07842-7W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</si>
  <si>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7W</t>
  </si>
  <si>
    <t>E07842-7.5M</t>
  </si>
  <si>
    <t>B-E07842-7.5M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</si>
  <si>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7.5M</t>
  </si>
  <si>
    <t>E07842-7.5W</t>
  </si>
  <si>
    <t>B-E07842-7.5W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</si>
  <si>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7.5W</t>
  </si>
  <si>
    <t>E07842-8M</t>
  </si>
  <si>
    <t>B-E07842-8M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</si>
  <si>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8M</t>
  </si>
  <si>
    <t>E07842-8W</t>
  </si>
  <si>
    <t>B-E07842-8W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</si>
  <si>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8W</t>
  </si>
  <si>
    <t>E07842-8.5M</t>
  </si>
  <si>
    <t>B-E07842-8.5M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</si>
  <si>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8.5M</t>
  </si>
  <si>
    <t>E07842-8.5W</t>
  </si>
  <si>
    <t>B-E07842-8.5W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</si>
  <si>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8.5W</t>
  </si>
  <si>
    <t>E07842-9M</t>
  </si>
  <si>
    <t>B-E07842-9M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</si>
  <si>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9M</t>
  </si>
  <si>
    <t>E07842-9W</t>
  </si>
  <si>
    <t>B-E07842-9W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</si>
  <si>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9W</t>
  </si>
  <si>
    <t>E07842-9.5M</t>
  </si>
  <si>
    <t>B-E07842-9.5M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</si>
  <si>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9.5M</t>
  </si>
  <si>
    <t>E07842-9.5W</t>
  </si>
  <si>
    <t>B-E07842-9.5W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</si>
  <si>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9.5W</t>
  </si>
  <si>
    <t>E07842-10M</t>
  </si>
  <si>
    <t>B-E07842-10M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</si>
  <si>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10M</t>
  </si>
  <si>
    <t>E07842-10W</t>
  </si>
  <si>
    <t>B-E07842-10W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</si>
  <si>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10W</t>
  </si>
  <si>
    <t>E07842-11M</t>
  </si>
  <si>
    <t>B-E07842-11M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</si>
  <si>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11M</t>
  </si>
  <si>
    <t>E07842-11W</t>
  </si>
  <si>
    <t>B-E07842-11W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</si>
  <si>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11W</t>
  </si>
  <si>
    <t>E07842-12M</t>
  </si>
  <si>
    <t>B-E07842-12M</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</si>
  <si>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12M</t>
  </si>
  <si>
    <t>E07842-12W</t>
  </si>
  <si>
    <t>B-E07842-12W</t>
  </si>
  <si>
    <t>Bates Women's  Sentry Oxford High Gloss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heel-to-toe drop, Athletic Strobel construction
Ideal for: Service/Duty
Size: 12W</t>
  </si>
  <si>
    <t>E08880-7M</t>
  </si>
  <si>
    <t>B-E08880-7M</t>
  </si>
  <si>
    <t>BATES MEN'S OPSPEED BOOT</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</si>
  <si>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7M</t>
  </si>
  <si>
    <t>E08880-7EW</t>
  </si>
  <si>
    <t>B-E08880-7EW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</si>
  <si>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7EW</t>
  </si>
  <si>
    <t>E08880-7.5M</t>
  </si>
  <si>
    <t>B-E08880-7.5M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</si>
  <si>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7.5M</t>
  </si>
  <si>
    <t>E08880-7.5EW</t>
  </si>
  <si>
    <t>B-E08880-7.5EW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</si>
  <si>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7.5EW</t>
  </si>
  <si>
    <t>E08880-8M</t>
  </si>
  <si>
    <t>B-E08880-8M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</si>
  <si>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8M</t>
  </si>
  <si>
    <t>E08880-8EW</t>
  </si>
  <si>
    <t>B-E08880-8EW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</si>
  <si>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8EW</t>
  </si>
  <si>
    <t>E08880-8.5M</t>
  </si>
  <si>
    <t>B-E08880-8.5M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</si>
  <si>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8.5M</t>
  </si>
  <si>
    <t>E08880-8.5EW</t>
  </si>
  <si>
    <t>B-E08880-8.5EW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</si>
  <si>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8.5EW</t>
  </si>
  <si>
    <t>E08880-9M</t>
  </si>
  <si>
    <t>B-E08880-9M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</si>
  <si>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9M</t>
  </si>
  <si>
    <t>E08880-9EW</t>
  </si>
  <si>
    <t>B-E08880-9EW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</si>
  <si>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9EW</t>
  </si>
  <si>
    <t>E08880-9.5M</t>
  </si>
  <si>
    <t>B-E08880-9.5M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</si>
  <si>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9.5M</t>
  </si>
  <si>
    <t>E08880-9.5EW</t>
  </si>
  <si>
    <t>B-E08880-9.5EW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</si>
  <si>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9.5EW</t>
  </si>
  <si>
    <t>E08880-10M</t>
  </si>
  <si>
    <t>B-E08880-10M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</si>
  <si>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10M</t>
  </si>
  <si>
    <t>E08880-10EW</t>
  </si>
  <si>
    <t>B-E08880-10EW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</si>
  <si>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10EW</t>
  </si>
  <si>
    <t>E08880-10.5M</t>
  </si>
  <si>
    <t>B-E08880-10.5M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</si>
  <si>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10.5M</t>
  </si>
  <si>
    <t>E08880-10.5EW</t>
  </si>
  <si>
    <t>B-E08880-10.5EW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</si>
  <si>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10.5EW</t>
  </si>
  <si>
    <t>E08880-11M</t>
  </si>
  <si>
    <t>B-E08880-11M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</si>
  <si>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11M</t>
  </si>
  <si>
    <t>E08880-11EW</t>
  </si>
  <si>
    <t>B-E08880-11EW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</si>
  <si>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11EW</t>
  </si>
  <si>
    <t>E08880-11.5M</t>
  </si>
  <si>
    <t>B-E08880-11.5M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</si>
  <si>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11.5M</t>
  </si>
  <si>
    <t>E08880-11.5EW</t>
  </si>
  <si>
    <t>B-E08880-11.5EW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</si>
  <si>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11.5EW</t>
  </si>
  <si>
    <t>E08880-12M</t>
  </si>
  <si>
    <t>B-E08880-12M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</si>
  <si>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12M</t>
  </si>
  <si>
    <t>E08880-12EW</t>
  </si>
  <si>
    <t>B-E08880-12EW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</si>
  <si>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12EW</t>
  </si>
  <si>
    <t>E08880-13M</t>
  </si>
  <si>
    <t>B-E08880-13M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</si>
  <si>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13M</t>
  </si>
  <si>
    <t>E08880-13EW</t>
  </si>
  <si>
    <t>B-E08880-13EW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</si>
  <si>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13EW</t>
  </si>
  <si>
    <t>E08880-14M</t>
  </si>
  <si>
    <t>B-E08880-14M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</si>
  <si>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14M</t>
  </si>
  <si>
    <t>E08880-14EW</t>
  </si>
  <si>
    <t>B-E08880-14EW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</si>
  <si>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14EW</t>
  </si>
  <si>
    <t>E08880-15M</t>
  </si>
  <si>
    <t>B-E08880-15M</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</si>
  <si>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15M</t>
  </si>
  <si>
    <t>E08880-15EW</t>
  </si>
  <si>
    <t>B-E08880-15EW</t>
  </si>
  <si>
    <t>Bates Men's OpSpeed Boot, Black, OpSpeed provides lightweight tactical performance. With a ground- gripping full rubber outsole, wedge platform for all-day comfort, and lightweight, athletic materials, this boot lets you go farther, faster. Easy to Clean High Gloss Upper, Mesh Lining for Added Breathability, Lightweight Slip Resistant Rubberlon Outsole
Ideal For: Service/Duty
Size: 15EW</t>
  </si>
  <si>
    <t>E08882-7M</t>
  </si>
  <si>
    <t>B-E08882-7M</t>
  </si>
  <si>
    <t>BATES MEN'S OPSPEED TALL WP BOOT</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</si>
  <si>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7M</t>
  </si>
  <si>
    <t>E08882-7EW</t>
  </si>
  <si>
    <t>B-E08882-7EW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</si>
  <si>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7EW</t>
  </si>
  <si>
    <t>E08882-7.5M</t>
  </si>
  <si>
    <t>B-E08882-7.5M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</si>
  <si>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7.5M</t>
  </si>
  <si>
    <t>E08882-7.5EW</t>
  </si>
  <si>
    <t>B-E08882-7.5EW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</si>
  <si>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7.5EW</t>
  </si>
  <si>
    <t>E08882-8M</t>
  </si>
  <si>
    <t>B-E08882-8M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</si>
  <si>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8M</t>
  </si>
  <si>
    <t>E08882-8EW</t>
  </si>
  <si>
    <t>B-E08882-8EW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</si>
  <si>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8EW</t>
  </si>
  <si>
    <t>E08882-8.5M</t>
  </si>
  <si>
    <t>B-E08882-8.5M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</si>
  <si>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8.5M</t>
  </si>
  <si>
    <t>E08882-8.5EW</t>
  </si>
  <si>
    <t>B-E08882-8.5EW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</si>
  <si>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8.5EW</t>
  </si>
  <si>
    <t>E08882-9M</t>
  </si>
  <si>
    <t>B-E08882-9M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</si>
  <si>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9M</t>
  </si>
  <si>
    <t>E08882-9EW</t>
  </si>
  <si>
    <t>B-E08882-9EW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</si>
  <si>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9EW</t>
  </si>
  <si>
    <t>E08882-9.5M</t>
  </si>
  <si>
    <t>B-E08882-9.5M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</si>
  <si>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9.5M</t>
  </si>
  <si>
    <t>E08882-9.5EW</t>
  </si>
  <si>
    <t>B-E08882-9.5EW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</si>
  <si>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9.5EW</t>
  </si>
  <si>
    <t>E08882-10M</t>
  </si>
  <si>
    <t>B-E08882-10M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</si>
  <si>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10M</t>
  </si>
  <si>
    <t>E08882-10EW</t>
  </si>
  <si>
    <t>B-E08882-10EW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</si>
  <si>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10EW</t>
  </si>
  <si>
    <t>E08882-10.5M</t>
  </si>
  <si>
    <t>B-E08882-10.5M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</si>
  <si>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10.5M</t>
  </si>
  <si>
    <t>E08882-10.5EW</t>
  </si>
  <si>
    <t>B-E08882-10.5EW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</si>
  <si>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10.5EW</t>
  </si>
  <si>
    <t>E08882-11M</t>
  </si>
  <si>
    <t>B-E08882-11M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</si>
  <si>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11M</t>
  </si>
  <si>
    <t>E08882-11EW</t>
  </si>
  <si>
    <t>B-E08882-11EW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</si>
  <si>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11EW</t>
  </si>
  <si>
    <t>E08882-11.5M</t>
  </si>
  <si>
    <t>B-E08882-11.5M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</si>
  <si>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11.5M</t>
  </si>
  <si>
    <t>E08882-11.5EW</t>
  </si>
  <si>
    <t>B-E08882-11.5EW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</si>
  <si>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11.5EW</t>
  </si>
  <si>
    <t>E08882-12M</t>
  </si>
  <si>
    <t>B-E08882-12M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</si>
  <si>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12M</t>
  </si>
  <si>
    <t>E08882-12EW</t>
  </si>
  <si>
    <t>B-E08882-12EW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</si>
  <si>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12EW</t>
  </si>
  <si>
    <t>E08882-13M</t>
  </si>
  <si>
    <t>B-E08882-13M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</si>
  <si>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13M</t>
  </si>
  <si>
    <t>E08882-13EW</t>
  </si>
  <si>
    <t>B-E08882-13EW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</si>
  <si>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13EW</t>
  </si>
  <si>
    <t>E08882-14M</t>
  </si>
  <si>
    <t>B-E08882-14M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</si>
  <si>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14M</t>
  </si>
  <si>
    <t>E08882-14EW</t>
  </si>
  <si>
    <t>B-E08882-14EW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</si>
  <si>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14EW</t>
  </si>
  <si>
    <t>E08882-15M</t>
  </si>
  <si>
    <t>B-E08882-15M</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</si>
  <si>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15M</t>
  </si>
  <si>
    <t>E08882-15EW</t>
  </si>
  <si>
    <t>B-E08882-15EW</t>
  </si>
  <si>
    <t>Bates Men's OpSpeed Tall Waterproof Boot,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15EW</t>
  </si>
  <si>
    <t>E08888-7M</t>
  </si>
  <si>
    <t>B-E08888-7M</t>
  </si>
  <si>
    <t>BATES MEN'S OPSPEED TALL SIDE BOOT</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</si>
  <si>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7M</t>
  </si>
  <si>
    <t>E08888-7EW</t>
  </si>
  <si>
    <t>B-E08888-7EW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</si>
  <si>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7EW</t>
  </si>
  <si>
    <t>E08888-7.5M</t>
  </si>
  <si>
    <t>B-E08888-7.5M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</si>
  <si>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7.5M</t>
  </si>
  <si>
    <t>E08888-7.5EW</t>
  </si>
  <si>
    <t>B-E08888-7.5EW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</si>
  <si>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7.5EW</t>
  </si>
  <si>
    <t>E08888-8M</t>
  </si>
  <si>
    <t>B-E08888-8M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</si>
  <si>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8M</t>
  </si>
  <si>
    <t>E08888-8EW</t>
  </si>
  <si>
    <t>B-E08888-8EW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</si>
  <si>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8EW</t>
  </si>
  <si>
    <t>E08888-8.5M</t>
  </si>
  <si>
    <t>B-E08888-8.5M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</si>
  <si>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8.5M</t>
  </si>
  <si>
    <t>E08888-8.5EW</t>
  </si>
  <si>
    <t>B-E08888-8.5EW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</si>
  <si>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8.5EW</t>
  </si>
  <si>
    <t>E08888-9M</t>
  </si>
  <si>
    <t>B-E08888-9M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</si>
  <si>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9M</t>
  </si>
  <si>
    <t>E08888-9EW</t>
  </si>
  <si>
    <t>B-E08888-9EW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</si>
  <si>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9EW</t>
  </si>
  <si>
    <t>E08888-9.5M</t>
  </si>
  <si>
    <t>B-E08888-9.5M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</si>
  <si>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9.5M</t>
  </si>
  <si>
    <t>E08888-9.5EW</t>
  </si>
  <si>
    <t>B-E08888-9.5EW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</si>
  <si>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9.5EW</t>
  </si>
  <si>
    <t>E08888-10M</t>
  </si>
  <si>
    <t>B-E08888-10M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</si>
  <si>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10M</t>
  </si>
  <si>
    <t>E08888-10EW</t>
  </si>
  <si>
    <t>B-E08888-10EW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</si>
  <si>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10EW</t>
  </si>
  <si>
    <t>E08888-10.5M</t>
  </si>
  <si>
    <t>B-E08888-10.5M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</si>
  <si>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10.5M</t>
  </si>
  <si>
    <t>E08888-10.5EW</t>
  </si>
  <si>
    <t>B-E08888-10.5EW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</si>
  <si>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10.5EW</t>
  </si>
  <si>
    <t>E08888-11M</t>
  </si>
  <si>
    <t>B-E08888-11M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</si>
  <si>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11M</t>
  </si>
  <si>
    <t>E08888-11EW</t>
  </si>
  <si>
    <t>B-E08888-11EW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</si>
  <si>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11EW</t>
  </si>
  <si>
    <t>E08888-11.5M</t>
  </si>
  <si>
    <t>B-E08888-11.5M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</si>
  <si>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11.5M</t>
  </si>
  <si>
    <t>E08888-11.5EW</t>
  </si>
  <si>
    <t>B-E08888-11.5EW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</si>
  <si>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11.5EW</t>
  </si>
  <si>
    <t>E08888-12M</t>
  </si>
  <si>
    <t>B-E08888-12M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</si>
  <si>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12M</t>
  </si>
  <si>
    <t>E08888-12EW</t>
  </si>
  <si>
    <t>B-E08888-12EW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</si>
  <si>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12EW</t>
  </si>
  <si>
    <t>E08888-13M</t>
  </si>
  <si>
    <t>B-E08888-13M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</si>
  <si>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13M</t>
  </si>
  <si>
    <t>E08888-13EW</t>
  </si>
  <si>
    <t>B-E08888-13EW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</si>
  <si>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13EW</t>
  </si>
  <si>
    <t>E08888-14M</t>
  </si>
  <si>
    <t>B-E08888-14M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</si>
  <si>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14M</t>
  </si>
  <si>
    <t>E08888-14EW</t>
  </si>
  <si>
    <t>B-E08888-14EW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</si>
  <si>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14EW</t>
  </si>
  <si>
    <t>E08888-15M</t>
  </si>
  <si>
    <t>B-E08888-15M</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</si>
  <si>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15M</t>
  </si>
  <si>
    <t>E08888-15EW</t>
  </si>
  <si>
    <t>B-E08888-15EW</t>
  </si>
  <si>
    <t>Bates Men's OpSpeed Tall Side Boot, Black, With a gripping full rubber outsole, wedge platform for all-day comfort, and lightweight, athletic materials, this boot lets you go farther, faster. High Shine Leather Upper, Mesh Lining for Added Breathability, Lightweight Slip Resistant Rubberlon Outsole
Ideal For: Service/Duty
Size: 15EW</t>
  </si>
  <si>
    <t>E08980-5M</t>
  </si>
  <si>
    <t>B-E08980-5M</t>
  </si>
  <si>
    <t>BATES WOMEN'S  OPSPEED TALL BOOT</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</si>
  <si>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5M</t>
  </si>
  <si>
    <t>E08980-5W</t>
  </si>
  <si>
    <t>B-E08980-5W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</si>
  <si>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5W</t>
  </si>
  <si>
    <t>E08980-5.5M</t>
  </si>
  <si>
    <t>B-E08980-5.5M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</si>
  <si>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5.5M</t>
  </si>
  <si>
    <t>E08980-5.5W</t>
  </si>
  <si>
    <t>B-E08980-5.5W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</si>
  <si>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5.5W</t>
  </si>
  <si>
    <t>E08980-6M</t>
  </si>
  <si>
    <t>B-E08980-6M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</si>
  <si>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6M</t>
  </si>
  <si>
    <t>E08980-6W</t>
  </si>
  <si>
    <t>B-E08980-6W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</si>
  <si>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6W</t>
  </si>
  <si>
    <t>E08980-6.5M</t>
  </si>
  <si>
    <t>B-E08980-6.5M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</si>
  <si>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6.5M</t>
  </si>
  <si>
    <t>E08980-6.5W</t>
  </si>
  <si>
    <t>B-E08980-6.5W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</si>
  <si>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6.5W</t>
  </si>
  <si>
    <t>E08980-7M</t>
  </si>
  <si>
    <t>B-E08980-7M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</si>
  <si>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7M</t>
  </si>
  <si>
    <t>E08980-7W</t>
  </si>
  <si>
    <t>B-E08980-7W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</si>
  <si>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7W</t>
  </si>
  <si>
    <t>E08980-7.5M</t>
  </si>
  <si>
    <t>B-E08980-7.5M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</si>
  <si>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7.5M</t>
  </si>
  <si>
    <t>E08980-7.5W</t>
  </si>
  <si>
    <t>B-E08980-7.5W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</si>
  <si>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7.5W</t>
  </si>
  <si>
    <t>E08980-8M</t>
  </si>
  <si>
    <t>B-E08980-8M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</si>
  <si>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8M</t>
  </si>
  <si>
    <t>E08980-8W</t>
  </si>
  <si>
    <t>B-E08980-8W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</si>
  <si>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8W</t>
  </si>
  <si>
    <t>E08980-8.5M</t>
  </si>
  <si>
    <t>B-E08980-8.5M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</si>
  <si>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8.5M</t>
  </si>
  <si>
    <t>E08980-8.5W</t>
  </si>
  <si>
    <t>B-E08980-8.5W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</si>
  <si>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8.5W</t>
  </si>
  <si>
    <t>E08980-9M</t>
  </si>
  <si>
    <t>B-E08980-9M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</si>
  <si>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9M</t>
  </si>
  <si>
    <t>E08980-9W</t>
  </si>
  <si>
    <t>B-E08980-9W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</si>
  <si>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9W</t>
  </si>
  <si>
    <t>E08980-9.5M</t>
  </si>
  <si>
    <t>B-E08980-9.5M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</si>
  <si>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9.5M</t>
  </si>
  <si>
    <t>E08980-9.5W</t>
  </si>
  <si>
    <t>B-E08980-9.5W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</si>
  <si>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9.5W</t>
  </si>
  <si>
    <t>E08980-10M</t>
  </si>
  <si>
    <t>B-E08980-10M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</si>
  <si>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10M</t>
  </si>
  <si>
    <t>E08980-10W</t>
  </si>
  <si>
    <t>B-E08980-10W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</si>
  <si>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10W</t>
  </si>
  <si>
    <t>E08980-11M</t>
  </si>
  <si>
    <t>B-E08980-11M</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</si>
  <si>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11M</t>
  </si>
  <si>
    <t>E08980-11W</t>
  </si>
  <si>
    <t>B-E08980-11W</t>
  </si>
  <si>
    <t>Bates Women's  OpSpeed Tall Boot,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11W</t>
  </si>
  <si>
    <t>E22141-7M</t>
  </si>
  <si>
    <t>B-E22141-7M</t>
  </si>
  <si>
    <t>BATES MEN'S DUTY OXFORD HIGH GLOSS</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</si>
  <si>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7M</t>
  </si>
  <si>
    <t>E22141-7W</t>
  </si>
  <si>
    <t>B-E22141-7W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</si>
  <si>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7W</t>
  </si>
  <si>
    <t>E22141-7.5M</t>
  </si>
  <si>
    <t>B-E22141-7.5M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</si>
  <si>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7.5M</t>
  </si>
  <si>
    <t>E22141-7.5W</t>
  </si>
  <si>
    <t>B-E22141-7.5W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</si>
  <si>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7.5W</t>
  </si>
  <si>
    <t>E22141-8M</t>
  </si>
  <si>
    <t>B-E22141-8M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</si>
  <si>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8M</t>
  </si>
  <si>
    <t>E22141-8W</t>
  </si>
  <si>
    <t>B-E22141-8W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</si>
  <si>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8W</t>
  </si>
  <si>
    <t>E22141-8.5M</t>
  </si>
  <si>
    <t>B-E22141-8.5M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</si>
  <si>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8.5M</t>
  </si>
  <si>
    <t>E22141-8.5W</t>
  </si>
  <si>
    <t>B-E22141-8.5W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</si>
  <si>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8.5W</t>
  </si>
  <si>
    <t>E22141-9M</t>
  </si>
  <si>
    <t>B-E22141-9M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</si>
  <si>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9M</t>
  </si>
  <si>
    <t>E22141-9W</t>
  </si>
  <si>
    <t>B-E22141-9W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</si>
  <si>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9W</t>
  </si>
  <si>
    <t>E22141-9.5M</t>
  </si>
  <si>
    <t>B-E22141-9.5M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</si>
  <si>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9.5M</t>
  </si>
  <si>
    <t>E22141-9.5W</t>
  </si>
  <si>
    <t>B-E22141-9.5W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</si>
  <si>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9.5W</t>
  </si>
  <si>
    <t>E22141-10M</t>
  </si>
  <si>
    <t>B-E22141-10M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</si>
  <si>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10M</t>
  </si>
  <si>
    <t>E22141-10W</t>
  </si>
  <si>
    <t>B-E22141-10W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</si>
  <si>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10W</t>
  </si>
  <si>
    <t>E22141-10.5M</t>
  </si>
  <si>
    <t>B-E22141-10.5M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</si>
  <si>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10.5M</t>
  </si>
  <si>
    <t>E22141-10.5W</t>
  </si>
  <si>
    <t>B-E22141-10.5W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</si>
  <si>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10.5W</t>
  </si>
  <si>
    <t>E22141-11M</t>
  </si>
  <si>
    <t>B-E22141-11M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</si>
  <si>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11M</t>
  </si>
  <si>
    <t>E22141-11W</t>
  </si>
  <si>
    <t>B-E22141-11W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</si>
  <si>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11W</t>
  </si>
  <si>
    <t>E22141-11.5M</t>
  </si>
  <si>
    <t>B-E22141-11.5M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</si>
  <si>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11.5M</t>
  </si>
  <si>
    <t>E22141-11.5W</t>
  </si>
  <si>
    <t>B-E22141-11.5W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</si>
  <si>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11.5W</t>
  </si>
  <si>
    <t>E22141-12M</t>
  </si>
  <si>
    <t>B-E22141-12M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</si>
  <si>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12M</t>
  </si>
  <si>
    <t>E22141-12W</t>
  </si>
  <si>
    <t>B-E22141-12W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</si>
  <si>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12W</t>
  </si>
  <si>
    <t>E22141-13M</t>
  </si>
  <si>
    <t>B-E22141-13M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</si>
  <si>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13M</t>
  </si>
  <si>
    <t>E22141-13W</t>
  </si>
  <si>
    <t>B-E22141-13W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</si>
  <si>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13W</t>
  </si>
  <si>
    <t>E22141-14M</t>
  </si>
  <si>
    <t>B-E22141-14M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</si>
  <si>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14M</t>
  </si>
  <si>
    <t>E22141-14W</t>
  </si>
  <si>
    <t>B-E22141-14W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</si>
  <si>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14W</t>
  </si>
  <si>
    <t>E22141-15M</t>
  </si>
  <si>
    <t>B-E22141-15M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</si>
  <si>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15M</t>
  </si>
  <si>
    <t>E22141-15W</t>
  </si>
  <si>
    <t>B-E22141-15W</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</si>
  <si>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15W</t>
  </si>
  <si>
    <t>E22141-16M</t>
  </si>
  <si>
    <t>B-E22141-16M</t>
  </si>
  <si>
    <t>Bates Men's Duty Oxford High Gloss Shoe, Black,  Leather and Synthetic Uppers: Durable, and easy to clean/shine,  Single Density PU Outsole: Lightweight cushion + durable, Slip-Resistant Tread Design: Better performance, slip-resisting,  Moisture Wicking Lining: Actively keeps your feet dry, Contemporary LAST: Modern look and tailored ﬁt,  Blucher Pattern: Easily adjustable for wider feet, Two-Needle Stitched Upper: Durable + increased tear strength, Molded Removable EVA Insert: Flexible support + contoured cushion
Ideal For: Service/Duty
Size: 16M</t>
  </si>
  <si>
    <t>E22233-4M</t>
  </si>
  <si>
    <t>B-E22233-4M</t>
  </si>
  <si>
    <t>BATES MEN'S DUTY OXFORD HIGH SHINE</t>
  </si>
  <si>
    <t>Bates Men's Duty Oxford High Shine Shoe, Black, Durable Leather Upper with a Polishable Toe, Cushioned Removable Insert for Added Comfort, Nylon Side Zipper for Easy On and Off, High-Performance Rubber Outsole
Ideal For: Service/Duty
Size: 4M</t>
  </si>
  <si>
    <t>E22233-4.5M</t>
  </si>
  <si>
    <t>B-E22233-4.5M</t>
  </si>
  <si>
    <t>Bates Men's Duty Oxford High Shine Shoe, Black, Durable Leather Upper with a Polishable Toe, Cushioned Removable Insert for Added Comfort, Nylon Side Zipper for Easy On and Off, High-Performance Rubber Outsole
Ideal For: Service/Duty
Size: 4.5M</t>
  </si>
  <si>
    <t>E22233-5M</t>
  </si>
  <si>
    <t>B-E22233-5M</t>
  </si>
  <si>
    <t>Bates Men's Duty Oxford High Shine Shoe, Black, Durable Leather Upper with a Polishable Toe, Cushioned Removable Insert for Added Comfort, Nylon Side Zipper for Easy On and Off, High-Performance Rubber Outsole
Ideal For: Service/Duty
Size: 5M</t>
  </si>
  <si>
    <t>E22233-5.5M</t>
  </si>
  <si>
    <t>B-E22233-5.5M</t>
  </si>
  <si>
    <t>Bates Men's Duty Oxford High Shine Shoe, Black, Durable Leather Upper with a Polishable Toe, Cushioned Removable Insert for Added Comfort, Nylon Side Zipper for Easy On and Off, High-Performance Rubber Outsole
Ideal For: Service/Duty
Size: 5.5M</t>
  </si>
  <si>
    <t>E22233-6M</t>
  </si>
  <si>
    <t>B-E22233-6M</t>
  </si>
  <si>
    <t>Bates Men's Duty Oxford High Shine Shoe, Black, Durable Leather Upper with a Polishable Toe, Cushioned Removable Insert for Added Comfort, Nylon Side Zipper for Easy On and Off, High-Performance Rubber Outsole
Ideal For: Service/Duty
Size: 6M</t>
  </si>
  <si>
    <t>E22233-6.5M</t>
  </si>
  <si>
    <t>B-E22233-6.5M</t>
  </si>
  <si>
    <t>Bates Men's Duty Oxford High Shine Shoe, Black, Durable Leather Upper with a Polishable Toe, Cushioned Removable Insert for Added Comfort, Nylon Side Zipper for Easy On and Off, High-Performance Rubber Outsole
Ideal For: Service/Duty
Size: 6.5M</t>
  </si>
  <si>
    <t>E22233-7M</t>
  </si>
  <si>
    <t>B-E22233-7M</t>
  </si>
  <si>
    <t>Bates Men's Duty Oxford High Shine Shoe, Black, Durable Leather Upper with a Polishable Toe, Cushioned Removable Insert for Added Comfort, Nylon Side Zipper for Easy On and Off, High-Performance Rubber Outsole
Ideal For: Service/Duty
Size: 7M</t>
  </si>
  <si>
    <t>E22233-7W</t>
  </si>
  <si>
    <t>B-E22233-7W</t>
  </si>
  <si>
    <t>Bates Men's Duty Oxford High Shine Shoe, Black, Durable Leather Upper with a Polishable Toe, Cushioned Removable Insert for Added Comfort, Nylon Side Zipper for Easy On and Off, High-Performance Rubber Outsole
Ideal For: Service/Duty
Size: 7W</t>
  </si>
  <si>
    <t>E22233-7.5M</t>
  </si>
  <si>
    <t>B-E22233-7.5M</t>
  </si>
  <si>
    <t>Bates Men's Duty Oxford High Shine Shoe, Black, Durable Leather Upper with a Polishable Toe, Cushioned Removable Insert for Added Comfort, Nylon Side Zipper for Easy On and Off, High-Performance Rubber Outsole
Ideal For: Service/Duty
Size: 7.5M</t>
  </si>
  <si>
    <t>E22233-7.5W</t>
  </si>
  <si>
    <t>B-E22233-7.5W</t>
  </si>
  <si>
    <t>Bates Men's Duty Oxford High Shine Shoe, Black, Durable Leather Upper with a Polishable Toe, Cushioned Removable Insert for Added Comfort, Nylon Side Zipper for Easy On and Off, High-Performance Rubber Outsole
Ideal For: Service/Duty
Size: 7.5W</t>
  </si>
  <si>
    <t>E22233-8M</t>
  </si>
  <si>
    <t>B-E22233-8M</t>
  </si>
  <si>
    <t>Bates Men's Duty Oxford High Shine Shoe, Black, Durable Leather Upper with a Polishable Toe, Cushioned Removable Insert for Added Comfort, Nylon Side Zipper for Easy On and Off, High-Performance Rubber Outsole
Ideal For: Service/Duty
Size: 8M</t>
  </si>
  <si>
    <t>E22233-8W</t>
  </si>
  <si>
    <t>B-E22233-8W</t>
  </si>
  <si>
    <t>Bates Men's Duty Oxford High Shine Shoe, Black, Durable Leather Upper with a Polishable Toe, Cushioned Removable Insert for Added Comfort, Nylon Side Zipper for Easy On and Off, High-Performance Rubber Outsole
Ideal For: Service/Duty
Size: 8W</t>
  </si>
  <si>
    <t>E22233-8.5M</t>
  </si>
  <si>
    <t>B-E22233-8.5M</t>
  </si>
  <si>
    <t>Bates Men's Duty Oxford High Shine Shoe, Black, Durable Leather Upper with a Polishable Toe, Cushioned Removable Insert for Added Comfort, Nylon Side Zipper for Easy On and Off, High-Performance Rubber Outsole
Ideal For: Service/Duty
Size: 8.5M</t>
  </si>
  <si>
    <t>E22233-8.5W</t>
  </si>
  <si>
    <t>B-E22233-8.5W</t>
  </si>
  <si>
    <t>Bates Men's Duty Oxford High Shine Shoe, Black, Durable Leather Upper with a Polishable Toe, Cushioned Removable Insert for Added Comfort, Nylon Side Zipper for Easy On and Off, High-Performance Rubber Outsole
Ideal For: Service/Duty
Size: 8.5W</t>
  </si>
  <si>
    <t>E22233-9M</t>
  </si>
  <si>
    <t>B-E22233-9M</t>
  </si>
  <si>
    <t>Bates Men's Duty Oxford High Shine Shoe, Black, Durable Leather Upper with a Polishable Toe, Cushioned Removable Insert for Added Comfort, Nylon Side Zipper for Easy On and Off, High-Performance Rubber Outsole
Ideal For: Service/Duty
Size: 9M</t>
  </si>
  <si>
    <t>E22233-9W</t>
  </si>
  <si>
    <t>B-E22233-9W</t>
  </si>
  <si>
    <t>Bates Men's Duty Oxford High Shine Shoe, Black, Durable Leather Upper with a Polishable Toe, Cushioned Removable Insert for Added Comfort, Nylon Side Zipper for Easy On and Off, High-Performance Rubber Outsole
Ideal For: Service/Duty
Size: 9W</t>
  </si>
  <si>
    <t>E22233-9.5M</t>
  </si>
  <si>
    <t>B-E22233-9.5M</t>
  </si>
  <si>
    <t>Bates Men's Duty Oxford High Shine Shoe, Black, Durable Leather Upper with a Polishable Toe, Cushioned Removable Insert for Added Comfort, Nylon Side Zipper for Easy On and Off, High-Performance Rubber Outsole
Ideal For: Service/Duty
Size: 9.5M</t>
  </si>
  <si>
    <t>E22233-9.5W</t>
  </si>
  <si>
    <t>B-E22233-9.5W</t>
  </si>
  <si>
    <t>Bates Men's Duty Oxford High Shine Shoe, Black, Durable Leather Upper with a Polishable Toe, Cushioned Removable Insert for Added Comfort, Nylon Side Zipper for Easy On and Off, High-Performance Rubber Outsole
Ideal For: Service/Duty
Size: 9.5W</t>
  </si>
  <si>
    <t>E22233-10M</t>
  </si>
  <si>
    <t>B-E22233-10M</t>
  </si>
  <si>
    <t>Bates Men's Duty Oxford High Shine Shoe, Black, Durable Leather Upper with a Polishable Toe, Cushioned Removable Insert for Added Comfort, Nylon Side Zipper for Easy On and Off, High-Performance Rubber Outsole
Ideal For: Service/Duty
Size: 10M</t>
  </si>
  <si>
    <t>E22233-10W</t>
  </si>
  <si>
    <t>B-E22233-10W</t>
  </si>
  <si>
    <t>Bates Men's Duty Oxford High Shine Shoe, Black, Durable Leather Upper with a Polishable Toe, Cushioned Removable Insert for Added Comfort, Nylon Side Zipper for Easy On and Off, High-Performance Rubber Outsole
Ideal For: Service/Duty
Size: 10W</t>
  </si>
  <si>
    <t>E22233-10.5M</t>
  </si>
  <si>
    <t>B-E22233-10.5M</t>
  </si>
  <si>
    <t>Bates Men's Duty Oxford High Shine Shoe, Black, Durable Leather Upper with a Polishable Toe, Cushioned Removable Insert for Added Comfort, Nylon Side Zipper for Easy On and Off, High-Performance Rubber Outsole
Ideal For: Service/Duty
Size: 10.5M</t>
  </si>
  <si>
    <t>E22233-10.5W</t>
  </si>
  <si>
    <t>B-E22233-10.5W</t>
  </si>
  <si>
    <t>Bates Men's Duty Oxford High Shine Shoe, Black, Durable Leather Upper with a Polishable Toe, Cushioned Removable Insert for Added Comfort, Nylon Side Zipper for Easy On and Off, High-Performance Rubber Outsole
Ideal For: Service/Duty
Size: 10.5W</t>
  </si>
  <si>
    <t>E22233-11M</t>
  </si>
  <si>
    <t>B-E22233-11M</t>
  </si>
  <si>
    <t>Bates Men's Duty Oxford High Shine Shoe, Black, Durable Leather Upper with a Polishable Toe, Cushioned Removable Insert for Added Comfort, Nylon Side Zipper for Easy On and Off, High-Performance Rubber Outsole
Ideal For: Service/Duty
Size: 11M</t>
  </si>
  <si>
    <t>E22233-11W</t>
  </si>
  <si>
    <t>B-E22233-11W</t>
  </si>
  <si>
    <t>Bates Men's Duty Oxford High Shine Shoe, Black, Durable Leather Upper with a Polishable Toe, Cushioned Removable Insert for Added Comfort, Nylon Side Zipper for Easy On and Off, High-Performance Rubber Outsole
Ideal For: Service/Duty
Size: 11W</t>
  </si>
  <si>
    <t>E22233-11.5M</t>
  </si>
  <si>
    <t>B-E22233-11.5M</t>
  </si>
  <si>
    <t>Bates Men's Duty Oxford High Shine Shoe, Black, Durable Leather Upper with a Polishable Toe, Cushioned Removable Insert for Added Comfort, Nylon Side Zipper for Easy On and Off, High-Performance Rubber Outsole
Ideal For: Service/Duty
Size: 11.5M</t>
  </si>
  <si>
    <t>E22233-11.5W</t>
  </si>
  <si>
    <t>B-E22233-11.5W</t>
  </si>
  <si>
    <t>Bates Men's Duty Oxford High Shine Shoe, Black, Durable Leather Upper with a Polishable Toe, Cushioned Removable Insert for Added Comfort, Nylon Side Zipper for Easy On and Off, High-Performance Rubber Outsole
Ideal For: Service/Duty
Size: 11.5W</t>
  </si>
  <si>
    <t>E22233-12M</t>
  </si>
  <si>
    <t>B-E22233-12M</t>
  </si>
  <si>
    <t>Bates Men's Duty Oxford High Shine Shoe, Black, Durable Leather Upper with a Polishable Toe, Cushioned Removable Insert for Added Comfort, Nylon Side Zipper for Easy On and Off, High-Performance Rubber Outsole
Ideal For: Service/Duty
Size: 12M</t>
  </si>
  <si>
    <t>E22233-12W</t>
  </si>
  <si>
    <t>B-E22233-12W</t>
  </si>
  <si>
    <t>Bates Men's Duty Oxford High Shine Shoe, Black, Durable Leather Upper with a Polishable Toe, Cushioned Removable Insert for Added Comfort, Nylon Side Zipper for Easy On and Off, High-Performance Rubber Outsole
Ideal For: Service/Duty
Size: 12W</t>
  </si>
  <si>
    <t>E22233-13M</t>
  </si>
  <si>
    <t>B-E22233-13M</t>
  </si>
  <si>
    <t>Bates Men's Duty Oxford High Shine Shoe, Black, Durable Leather Upper with a Polishable Toe, Cushioned Removable Insert for Added Comfort, Nylon Side Zipper for Easy On and Off, High-Performance Rubber Outsole
Ideal For: Service/Duty
Size: 13M</t>
  </si>
  <si>
    <t>E22233-13W</t>
  </si>
  <si>
    <t>B-E22233-13W</t>
  </si>
  <si>
    <t>Bates Men's Duty Oxford High Shine Shoe, Black, Durable Leather Upper with a Polishable Toe, Cushioned Removable Insert for Added Comfort, Nylon Side Zipper for Easy On and Off, High-Performance Rubber Outsole
Ideal For: Service/Duty
Size: 13W</t>
  </si>
  <si>
    <t>E22233-14M</t>
  </si>
  <si>
    <t>B-E22233-14M</t>
  </si>
  <si>
    <t>Bates Men's Duty Oxford High Shine Shoe, Black, Durable Leather Upper with a Polishable Toe, Cushioned Removable Insert for Added Comfort, Nylon Side Zipper for Easy On and Off, High-Performance Rubber Outsole
Ideal For: Service/Duty
Size: 14M</t>
  </si>
  <si>
    <t>E22233-14W</t>
  </si>
  <si>
    <t>B-E22233-14W</t>
  </si>
  <si>
    <t>Bates Men's Duty Oxford High Shine Shoe, Black, Durable Leather Upper with a Polishable Toe, Cushioned Removable Insert for Added Comfort, Nylon Side Zipper for Easy On and Off, High-Performance Rubber Outsole
Ideal For: Service/Duty
Size: 14W</t>
  </si>
  <si>
    <t>E22233-15M</t>
  </si>
  <si>
    <t>B-E22233-15M</t>
  </si>
  <si>
    <t>Bates Men's Duty Oxford High Shine Shoe, Black, Durable Leather Upper with a Polishable Toe, Cushioned Removable Insert for Added Comfort, Nylon Side Zipper for Easy On and Off, High-Performance Rubber Outsole
Ideal For: Service/Duty
Size: 15M</t>
  </si>
  <si>
    <t>E22233-15W</t>
  </si>
  <si>
    <t>B-E22233-15W</t>
  </si>
  <si>
    <t>Bates Men's Duty Oxford High Shine Shoe, Black, Durable Leather Upper with a Polishable Toe, Cushioned Removable Insert for Added Comfort, Nylon Side Zipper for Easy On and Off, High-Performance Rubber Outsole
Ideal For: Service/Duty
Size: 15W</t>
  </si>
  <si>
    <t>E22233-16M</t>
  </si>
  <si>
    <t>B-E22233-16M</t>
  </si>
  <si>
    <t>Bates Men's Duty Oxford High Shine Shoe, Black, Durable Leather Upper with a Polishable Toe, Cushioned Removable Insert for Added Comfort, Nylon Side Zipper for Easy On and Off, High-Performance Rubber Outsole
Ideal For: Service/Duty
Size: 16M</t>
  </si>
  <si>
    <t>E22233-17M</t>
  </si>
  <si>
    <t>B-E22233-17M</t>
  </si>
  <si>
    <t>Bates Men's Duty Oxford High Shine Shoe, Black, Durable Leather Upper with a Polishable Toe, Cushioned Removable Insert for Added Comfort, Nylon Side Zipper for Easy On and Off, High-Performance Rubber Outsole
Ideal For: Service/Duty
Size: 17M</t>
  </si>
  <si>
    <t>E22741-5M</t>
  </si>
  <si>
    <t>B-E22741-5M</t>
  </si>
  <si>
    <t>BATES WOMEN'S  HIGH GLOSS OXFORD SHOE</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</si>
  <si>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5M</t>
  </si>
  <si>
    <t>E22741-5W</t>
  </si>
  <si>
    <t>B-E22741-5W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</si>
  <si>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5W</t>
  </si>
  <si>
    <t>E22741-5.5M</t>
  </si>
  <si>
    <t>B-E22741-5.5M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</si>
  <si>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5.5M</t>
  </si>
  <si>
    <t>E22741-5.5W</t>
  </si>
  <si>
    <t>B-E22741-5.5W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</si>
  <si>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5.5W</t>
  </si>
  <si>
    <t>E22741-6M</t>
  </si>
  <si>
    <t>B-E22741-6M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</si>
  <si>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6M</t>
  </si>
  <si>
    <t>E22741-6W</t>
  </si>
  <si>
    <t>B-E22741-6W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</si>
  <si>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6W</t>
  </si>
  <si>
    <t>E22741-6.5M</t>
  </si>
  <si>
    <t>B-E22741-6.5M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</si>
  <si>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6.5M</t>
  </si>
  <si>
    <t>E22741-6.5W</t>
  </si>
  <si>
    <t>B-E22741-6.5W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</si>
  <si>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6.5W</t>
  </si>
  <si>
    <t>E22741-7M</t>
  </si>
  <si>
    <t>B-E22741-7M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</si>
  <si>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7M</t>
  </si>
  <si>
    <t>E22741-7W</t>
  </si>
  <si>
    <t>B-E22741-7W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</si>
  <si>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7W</t>
  </si>
  <si>
    <t>E22741-7.5M</t>
  </si>
  <si>
    <t>B-E22741-7.5M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</si>
  <si>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7.5M</t>
  </si>
  <si>
    <t>E22741-7.5W</t>
  </si>
  <si>
    <t>B-E22741-7.5W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</si>
  <si>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7.5W</t>
  </si>
  <si>
    <t>E22741-8M</t>
  </si>
  <si>
    <t>B-E22741-8M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</si>
  <si>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8M</t>
  </si>
  <si>
    <t>E22741-8W</t>
  </si>
  <si>
    <t>B-E22741-8W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</si>
  <si>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8W</t>
  </si>
  <si>
    <t>E22741-8.5M</t>
  </si>
  <si>
    <t>B-E22741-8.5M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</si>
  <si>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8.5M</t>
  </si>
  <si>
    <t>E22741-8.5W</t>
  </si>
  <si>
    <t>B-E22741-8.5W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</si>
  <si>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8.5W</t>
  </si>
  <si>
    <t>E22741-9M</t>
  </si>
  <si>
    <t>B-E22741-9M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</si>
  <si>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9M</t>
  </si>
  <si>
    <t>E22741-9W</t>
  </si>
  <si>
    <t>B-E22741-9W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</si>
  <si>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9W</t>
  </si>
  <si>
    <t>E22741-9.5M</t>
  </si>
  <si>
    <t>B-E22741-9.5M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</si>
  <si>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9.5M</t>
  </si>
  <si>
    <t>E22741-9.5W</t>
  </si>
  <si>
    <t>B-E22741-9.5W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</si>
  <si>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9.5W</t>
  </si>
  <si>
    <t>E22741-10M</t>
  </si>
  <si>
    <t>B-E22741-10M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</si>
  <si>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10M</t>
  </si>
  <si>
    <t>E22741-10W</t>
  </si>
  <si>
    <t>B-E22741-10W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</si>
  <si>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10W</t>
  </si>
  <si>
    <t>E22741-11M</t>
  </si>
  <si>
    <t>B-E22741-11M</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</si>
  <si>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11M</t>
  </si>
  <si>
    <t>E22741-11W</t>
  </si>
  <si>
    <t>B-E22741-11W</t>
  </si>
  <si>
    <t>Bates Women's  High Gloss Duty Oxford Shoe, Black, Built to last with durable full-grain leather, Lightweight and strong Performance Denier Polyester, Actively pulls moisture away from the foot with moisture-wicking lining, Built to last with toe and heel outsole stitch, Form-ﬁtting and breathable removable PU insert, Energy returning lightweight CMEVA midsole, Built to ﬁt her foot with a speciﬁcally designed Women's  last, Better ground connection with 11mm heel to toe drop, Athletic Strobel construction
Ideal for: Service/Duty
Size: 11W</t>
  </si>
  <si>
    <t>Website Price 45% 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</si>
</sst>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u/>
      <sz val="11"/>
      <color theme="10"/>
      <name val="Aptos Narrow"/>
      <family val="2"/>
      <scheme val="minor"/>
    </font>
    <font>
      <sz val="12"/>
      <color theme="0"/>
      <name val="Calibri"/>
      <family val="2"/>
    </font>
    <font>
      <u/>
      <sz val="12"/>
      <color rgb="FF1155CC"/>
      <name val="Calibri"/>
      <family val="2"/>
    </font>
    <font>
      <sz val="12"/>
      <color rgb="FF000000"/>
      <name val="Calibri"/>
      <family val="2"/>
    </font>
    <font>
      <u/>
      <sz val="12"/>
      <color theme="10"/>
      <name val="Aptos Display"/>
      <family val="2"/>
      <scheme val="major"/>
    </font>
    <font>
      <sz val="12"/>
      <color rgb="FF000000"/>
      <name val="Aptos Display"/>
      <family val="2"/>
      <scheme val="major"/>
    </font>
    <font>
      <u/>
      <sz val="12"/>
      <color rgb="FF1155CC"/>
      <name val="Aptos Display"/>
      <family val="2"/>
      <scheme val="major"/>
    </font>
    <font>
      <sz val="9"/>
      <color indexed="81"/>
      <name val="Tahoma"/>
      <family val="2"/>
    </font>
    <font>
      <b/>
      <sz val="9"/>
      <color indexed="81"/>
      <name val="Tahoma"/>
      <family val="2"/>
    </font>
    <font>
      <sz val="11"/>
      <color theme="1"/>
      <name val="Aptos Narrow"/>
      <family val="2"/>
      <scheme val="minor"/>
    </font>
  </fonts>
  <fills count="6">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59999389629810485"/>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s>
  <cellStyleXfs count="3">
    <xf numFmtId="0" fontId="0" fillId="0" borderId="0"/>
    <xf numFmtId="0" fontId="1" fillId="0" borderId="0" applyNumberFormat="0" applyFill="0" applyBorder="0" applyAlignment="0" applyProtection="0"/>
    <xf numFmtId="9" fontId="10" fillId="0" borderId="0" applyFont="0" applyFill="0" applyBorder="0" applyAlignment="0" applyProtection="0"/>
  </cellStyleXfs>
  <cellXfs count="58">
    <xf numFmtId="0" fontId="0" fillId="0" borderId="0" xfId="0"/>
    <xf numFmtId="1" fontId="0" fillId="0" borderId="0" xfId="0" applyNumberFormat="1"/>
    <xf numFmtId="1" fontId="0" fillId="0" borderId="0" xfId="0" applyNumberFormat="1" applyAlignment="1">
      <alignment horizontal="left"/>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2" fontId="2" fillId="2" borderId="5" xfId="0" applyNumberFormat="1" applyFont="1" applyFill="1" applyBorder="1" applyAlignment="1">
      <alignment horizontal="center" vertical="center" wrapText="1"/>
    </xf>
    <xf numFmtId="0" fontId="2" fillId="3" borderId="8"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2" fontId="2" fillId="2" borderId="2" xfId="0" applyNumberFormat="1" applyFont="1" applyFill="1" applyBorder="1" applyAlignment="1">
      <alignment horizontal="center" vertical="center"/>
    </xf>
    <xf numFmtId="2" fontId="2" fillId="2" borderId="4" xfId="0" applyNumberFormat="1" applyFont="1" applyFill="1" applyBorder="1" applyAlignment="1">
      <alignment horizontal="center" vertical="center"/>
    </xf>
    <xf numFmtId="2" fontId="2" fillId="2" borderId="3"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1" applyFont="1" applyFill="1" applyBorder="1" applyAlignment="1">
      <alignment horizontal="center" vertical="center" wrapText="1"/>
    </xf>
    <xf numFmtId="2" fontId="4" fillId="4" borderId="1" xfId="0" applyNumberFormat="1" applyFont="1" applyFill="1" applyBorder="1" applyAlignment="1">
      <alignment horizontal="center" vertical="center" wrapText="1"/>
    </xf>
    <xf numFmtId="2" fontId="4" fillId="4" borderId="5" xfId="0" applyNumberFormat="1" applyFont="1" applyFill="1" applyBorder="1" applyAlignment="1">
      <alignment horizontal="center" vertical="center" wrapText="1"/>
    </xf>
    <xf numFmtId="0" fontId="4" fillId="4" borderId="15" xfId="0" applyFont="1" applyFill="1" applyBorder="1" applyAlignment="1">
      <alignment horizontal="center" vertical="center" wrapText="1"/>
    </xf>
    <xf numFmtId="2" fontId="4" fillId="4" borderId="15" xfId="0" applyNumberFormat="1" applyFont="1" applyFill="1" applyBorder="1" applyAlignment="1">
      <alignment horizontal="center" vertical="center" wrapText="1"/>
    </xf>
    <xf numFmtId="2" fontId="4" fillId="4" borderId="13" xfId="0" applyNumberFormat="1" applyFont="1" applyFill="1" applyBorder="1" applyAlignment="1">
      <alignment horizontal="center" vertical="center" wrapText="1"/>
    </xf>
    <xf numFmtId="0" fontId="3" fillId="4" borderId="1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4" borderId="4" xfId="1" applyFont="1" applyFill="1" applyBorder="1" applyAlignment="1">
      <alignment horizontal="center" vertical="center"/>
    </xf>
    <xf numFmtId="0" fontId="5" fillId="4" borderId="3" xfId="1"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xf>
    <xf numFmtId="9" fontId="0" fillId="0" borderId="0" xfId="2" applyFont="1" applyAlignment="1">
      <alignment horizontal="center"/>
    </xf>
    <xf numFmtId="2" fontId="0" fillId="0" borderId="0" xfId="0" applyNumberFormat="1" applyAlignment="1">
      <alignment horizontal="center"/>
    </xf>
    <xf numFmtId="0" fontId="0" fillId="0" borderId="0" xfId="0"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0" fontId="4" fillId="4" borderId="1" xfId="0" applyFont="1" applyFill="1" applyBorder="1" applyAlignment="1">
      <alignment horizontal="left" vertical="center"/>
    </xf>
    <xf numFmtId="0" fontId="0" fillId="0" borderId="0" xfId="0" applyAlignment="1">
      <alignment horizontal="left" vertical="center" wrapText="1"/>
    </xf>
    <xf numFmtId="0" fontId="0" fillId="0" borderId="0" xfId="0" applyAlignment="1">
      <alignment horizontal="left"/>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2"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2" fillId="2" borderId="4" xfId="0" applyFont="1" applyFill="1" applyBorder="1" applyAlignment="1">
      <alignment horizontal="left" vertical="center"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2" fontId="2" fillId="2" borderId="9" xfId="0" applyNumberFormat="1" applyFont="1" applyFill="1" applyBorder="1" applyAlignment="1">
      <alignment horizontal="center" vertical="center"/>
    </xf>
    <xf numFmtId="2" fontId="2" fillId="2" borderId="10" xfId="0" applyNumberFormat="1" applyFont="1" applyFill="1" applyBorder="1" applyAlignment="1">
      <alignment horizontal="center" vertical="center"/>
    </xf>
    <xf numFmtId="2" fontId="0" fillId="0" borderId="0" xfId="0" applyNumberFormat="1"/>
    <xf numFmtId="2" fontId="4" fillId="5" borderId="13" xfId="0" applyNumberFormat="1" applyFont="1" applyFill="1" applyBorder="1" applyAlignment="1">
      <alignment horizontal="center" vertical="center" wrapText="1"/>
    </xf>
    <xf numFmtId="0" fontId="2" fillId="5" borderId="8" xfId="0" applyFont="1" applyFill="1" applyBorder="1" applyAlignment="1">
      <alignment horizontal="center" vertical="center"/>
    </xf>
    <xf numFmtId="2" fontId="0" fillId="5" borderId="0" xfId="0" applyNumberFormat="1" applyFill="1"/>
    <xf numFmtId="2" fontId="0" fillId="5" borderId="0" xfId="0" applyNumberFormat="1" applyFill="1" applyAlignment="1">
      <alignment horizontal="center" vertical="center"/>
    </xf>
    <xf numFmtId="0" fontId="0" fillId="5" borderId="0" xfId="0" applyFill="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EF4E4-FCEC-44C2-A720-ECABA4482F23}">
  <dimension ref="A1:AZ1173"/>
  <sheetViews>
    <sheetView tabSelected="1" topLeftCell="I1172" zoomScale="120" zoomScaleNormal="120" workbookViewId="0">
      <selection activeCell="R1177" sqref="R1177"/>
    </sheetView>
  </sheetViews>
  <sheetFormatPr defaultRowHeight="15" x14ac:dyDescent="0.25"/>
  <cols>
    <col min="1" max="1" width="17.140625" bestFit="1" customWidth="1"/>
    <col min="2" max="2" width="14.5703125" customWidth="1"/>
    <col min="3" max="3" width="16.140625" bestFit="1" customWidth="1"/>
    <col min="4" max="4" width="19.85546875" customWidth="1"/>
    <col min="5" max="5" width="18.7109375" customWidth="1"/>
    <col min="7" max="7" width="47.42578125" style="35" bestFit="1" customWidth="1"/>
    <col min="8" max="8" width="129.85546875" style="40" bestFit="1" customWidth="1"/>
    <col min="17" max="17" width="9.140625" style="57"/>
    <col min="18" max="19" width="9.140625" style="32"/>
    <col min="20" max="21" width="9.5703125" style="32" bestFit="1" customWidth="1"/>
    <col min="23" max="24" width="9.140625" style="32"/>
    <col min="30" max="30" width="14.85546875" customWidth="1"/>
  </cols>
  <sheetData>
    <row r="1" spans="1:52" ht="141.75" x14ac:dyDescent="0.25">
      <c r="B1" s="3" t="s">
        <v>0</v>
      </c>
      <c r="C1" s="41" t="s">
        <v>1</v>
      </c>
      <c r="D1" s="42"/>
      <c r="E1" s="3" t="s">
        <v>2</v>
      </c>
      <c r="F1" s="3" t="s">
        <v>3</v>
      </c>
      <c r="G1" s="41" t="s">
        <v>4</v>
      </c>
      <c r="H1" s="47"/>
      <c r="I1" s="42"/>
      <c r="J1" s="3" t="s">
        <v>5</v>
      </c>
      <c r="K1" s="41" t="s">
        <v>6</v>
      </c>
      <c r="L1" s="42"/>
      <c r="M1" s="7" t="s">
        <v>7</v>
      </c>
      <c r="N1" s="48" t="s">
        <v>8</v>
      </c>
      <c r="O1" s="49"/>
      <c r="P1" s="8"/>
      <c r="Q1" s="54"/>
      <c r="R1" s="8"/>
      <c r="S1" s="8"/>
      <c r="T1" s="50" t="s">
        <v>9</v>
      </c>
      <c r="U1" s="51"/>
      <c r="V1" s="9" t="s">
        <v>10</v>
      </c>
      <c r="W1" s="41" t="s">
        <v>11</v>
      </c>
      <c r="X1" s="43"/>
      <c r="Y1" s="43"/>
      <c r="Z1" s="43"/>
      <c r="AA1" s="43"/>
      <c r="AB1" s="42"/>
      <c r="AC1" s="5" t="s">
        <v>12</v>
      </c>
      <c r="AD1" s="3" t="s">
        <v>13</v>
      </c>
      <c r="AE1" s="4" t="s">
        <v>14</v>
      </c>
      <c r="AF1" s="10" t="s">
        <v>15</v>
      </c>
      <c r="AG1" s="11"/>
      <c r="AH1" s="12"/>
      <c r="AI1" s="4" t="s">
        <v>16</v>
      </c>
      <c r="AJ1" s="6"/>
      <c r="AK1" s="6"/>
      <c r="AL1" s="6"/>
      <c r="AM1" s="5"/>
      <c r="AN1" s="41" t="s">
        <v>17</v>
      </c>
      <c r="AO1" s="42"/>
      <c r="AP1" s="41" t="s">
        <v>18</v>
      </c>
      <c r="AQ1" s="43"/>
      <c r="AR1" s="43"/>
      <c r="AS1" s="43"/>
      <c r="AT1" s="42"/>
      <c r="AU1" s="44" t="s">
        <v>19</v>
      </c>
      <c r="AV1" s="45"/>
      <c r="AW1" s="46"/>
      <c r="AX1" s="13" t="s">
        <v>20</v>
      </c>
      <c r="AY1" s="14"/>
      <c r="AZ1" s="15"/>
    </row>
    <row r="2" spans="1:52" ht="47.25" x14ac:dyDescent="0.25">
      <c r="A2" s="2" t="s">
        <v>13</v>
      </c>
      <c r="B2" s="16" t="s">
        <v>21</v>
      </c>
      <c r="C2" s="17" t="s">
        <v>22</v>
      </c>
      <c r="D2" s="17" t="s">
        <v>23</v>
      </c>
      <c r="E2" s="17" t="s">
        <v>24</v>
      </c>
      <c r="F2" s="18" t="s">
        <v>25</v>
      </c>
      <c r="G2" s="17" t="s">
        <v>26</v>
      </c>
      <c r="H2" s="38" t="s">
        <v>27</v>
      </c>
      <c r="I2" s="19" t="s">
        <v>28</v>
      </c>
      <c r="J2" s="16" t="s">
        <v>29</v>
      </c>
      <c r="K2" s="17" t="s">
        <v>30</v>
      </c>
      <c r="L2" s="16" t="s">
        <v>31</v>
      </c>
      <c r="M2" s="20" t="s">
        <v>32</v>
      </c>
      <c r="N2" s="21" t="s">
        <v>33</v>
      </c>
      <c r="O2" s="22" t="s">
        <v>34</v>
      </c>
      <c r="P2" s="23" t="s">
        <v>35</v>
      </c>
      <c r="Q2" s="53" t="s">
        <v>3562</v>
      </c>
      <c r="R2" s="23" t="s">
        <v>36</v>
      </c>
      <c r="S2" s="23" t="s">
        <v>37</v>
      </c>
      <c r="T2" s="19" t="s">
        <v>38</v>
      </c>
      <c r="U2" s="19" t="s">
        <v>39</v>
      </c>
      <c r="V2" s="24" t="s">
        <v>40</v>
      </c>
      <c r="W2" s="25" t="s">
        <v>41</v>
      </c>
      <c r="X2" s="26" t="s">
        <v>42</v>
      </c>
      <c r="Y2" s="27" t="s">
        <v>43</v>
      </c>
      <c r="Z2" s="27" t="s">
        <v>44</v>
      </c>
      <c r="AA2" s="27" t="s">
        <v>45</v>
      </c>
      <c r="AB2" s="28" t="s">
        <v>46</v>
      </c>
      <c r="AC2" s="17" t="s">
        <v>47</v>
      </c>
      <c r="AD2" s="17" t="s">
        <v>48</v>
      </c>
      <c r="AE2" s="29" t="s">
        <v>49</v>
      </c>
      <c r="AF2" s="30" t="s">
        <v>50</v>
      </c>
      <c r="AG2" s="17" t="s">
        <v>51</v>
      </c>
      <c r="AH2" s="17" t="s">
        <v>52</v>
      </c>
      <c r="AI2" s="17" t="s">
        <v>53</v>
      </c>
      <c r="AJ2" s="17" t="s">
        <v>54</v>
      </c>
      <c r="AK2" s="17" t="s">
        <v>55</v>
      </c>
      <c r="AL2" s="17" t="s">
        <v>56</v>
      </c>
      <c r="AM2" s="25" t="s">
        <v>57</v>
      </c>
      <c r="AN2" s="25" t="s">
        <v>58</v>
      </c>
      <c r="AO2" s="18" t="s">
        <v>59</v>
      </c>
      <c r="AP2" s="25" t="s">
        <v>60</v>
      </c>
      <c r="AQ2" s="17" t="s">
        <v>61</v>
      </c>
      <c r="AR2" s="17" t="s">
        <v>62</v>
      </c>
      <c r="AS2" s="18" t="s">
        <v>63</v>
      </c>
      <c r="AT2" s="17" t="s">
        <v>64</v>
      </c>
      <c r="AU2" s="18" t="s">
        <v>65</v>
      </c>
      <c r="AV2" s="17" t="s">
        <v>66</v>
      </c>
      <c r="AW2" s="17" t="s">
        <v>67</v>
      </c>
      <c r="AX2" s="19" t="s">
        <v>68</v>
      </c>
      <c r="AY2" s="19" t="s">
        <v>69</v>
      </c>
      <c r="AZ2" s="20" t="s">
        <v>70</v>
      </c>
    </row>
    <row r="3" spans="1:52" ht="60" x14ac:dyDescent="0.25">
      <c r="A3" s="2">
        <v>195018758651</v>
      </c>
      <c r="B3" t="s">
        <v>71</v>
      </c>
      <c r="C3" t="s">
        <v>72</v>
      </c>
      <c r="D3" t="s">
        <v>73</v>
      </c>
      <c r="E3" t="s">
        <v>74</v>
      </c>
      <c r="F3">
        <v>316210</v>
      </c>
      <c r="G3" s="35" t="s">
        <v>75</v>
      </c>
      <c r="H3" s="31" t="s">
        <v>76</v>
      </c>
      <c r="J3" t="s">
        <v>77</v>
      </c>
      <c r="M3">
        <v>130</v>
      </c>
      <c r="P3" t="s">
        <v>78</v>
      </c>
      <c r="Q3" s="55">
        <v>118.18181818181817</v>
      </c>
      <c r="R3" s="32">
        <v>65</v>
      </c>
      <c r="S3" s="33">
        <v>0.33</v>
      </c>
      <c r="T3" s="34">
        <f>R3/(1-S3)</f>
        <v>97.014925373134332</v>
      </c>
      <c r="U3" s="34">
        <f t="shared" ref="U3" si="0">T3*(1+1.25%)</f>
        <v>98.227611940298502</v>
      </c>
      <c r="V3" t="s">
        <v>79</v>
      </c>
      <c r="W3" s="32">
        <v>15</v>
      </c>
      <c r="X3" s="32" t="s">
        <v>80</v>
      </c>
      <c r="AD3" s="1">
        <v>195018758651</v>
      </c>
      <c r="AF3" s="52"/>
      <c r="AN3">
        <v>30</v>
      </c>
      <c r="AO3" t="s">
        <v>81</v>
      </c>
    </row>
    <row r="4" spans="1:52" ht="60" x14ac:dyDescent="0.25">
      <c r="A4" s="2">
        <v>195018758668</v>
      </c>
      <c r="B4" t="s">
        <v>71</v>
      </c>
      <c r="C4" t="s">
        <v>72</v>
      </c>
      <c r="D4" t="s">
        <v>82</v>
      </c>
      <c r="E4" t="s">
        <v>83</v>
      </c>
      <c r="F4">
        <v>316210</v>
      </c>
      <c r="G4" s="35" t="s">
        <v>75</v>
      </c>
      <c r="H4" s="31" t="s">
        <v>84</v>
      </c>
      <c r="J4" t="s">
        <v>77</v>
      </c>
      <c r="M4">
        <v>130</v>
      </c>
      <c r="P4" t="s">
        <v>78</v>
      </c>
      <c r="Q4" s="55">
        <v>118.18181818181817</v>
      </c>
      <c r="R4" s="32">
        <v>65</v>
      </c>
      <c r="S4" s="33">
        <v>0.33</v>
      </c>
      <c r="T4" s="34">
        <f t="shared" ref="T4:T67" si="1">R4/(1-S4)</f>
        <v>97.014925373134332</v>
      </c>
      <c r="U4" s="34">
        <f t="shared" ref="U4:U67" si="2">T4*(1+1.25%)</f>
        <v>98.227611940298502</v>
      </c>
      <c r="V4" t="s">
        <v>79</v>
      </c>
      <c r="W4" s="32">
        <v>15</v>
      </c>
      <c r="X4" s="32" t="s">
        <v>80</v>
      </c>
      <c r="AD4" s="1">
        <v>195018758668</v>
      </c>
      <c r="AF4" s="52"/>
      <c r="AN4">
        <v>30</v>
      </c>
      <c r="AO4" t="s">
        <v>81</v>
      </c>
    </row>
    <row r="5" spans="1:52" ht="60" x14ac:dyDescent="0.25">
      <c r="A5" s="2">
        <v>195018758675</v>
      </c>
      <c r="B5" t="s">
        <v>71</v>
      </c>
      <c r="C5" t="s">
        <v>72</v>
      </c>
      <c r="D5" t="s">
        <v>85</v>
      </c>
      <c r="E5" t="s">
        <v>86</v>
      </c>
      <c r="F5">
        <v>316210</v>
      </c>
      <c r="G5" s="35" t="s">
        <v>75</v>
      </c>
      <c r="H5" s="31" t="s">
        <v>87</v>
      </c>
      <c r="J5" t="s">
        <v>77</v>
      </c>
      <c r="M5">
        <v>130</v>
      </c>
      <c r="P5" t="s">
        <v>78</v>
      </c>
      <c r="Q5" s="55">
        <v>118.18181818181817</v>
      </c>
      <c r="R5" s="32">
        <v>65</v>
      </c>
      <c r="S5" s="33">
        <v>0.33</v>
      </c>
      <c r="T5" s="34">
        <f t="shared" si="1"/>
        <v>97.014925373134332</v>
      </c>
      <c r="U5" s="34">
        <f t="shared" si="2"/>
        <v>98.227611940298502</v>
      </c>
      <c r="V5" t="s">
        <v>79</v>
      </c>
      <c r="W5" s="32">
        <v>15</v>
      </c>
      <c r="X5" s="32" t="s">
        <v>80</v>
      </c>
      <c r="AD5" s="1">
        <v>195018758675</v>
      </c>
      <c r="AF5" s="52"/>
      <c r="AN5">
        <v>30</v>
      </c>
      <c r="AO5" t="s">
        <v>81</v>
      </c>
    </row>
    <row r="6" spans="1:52" ht="60" x14ac:dyDescent="0.25">
      <c r="A6" s="2">
        <v>195018758682</v>
      </c>
      <c r="B6" t="s">
        <v>71</v>
      </c>
      <c r="C6" t="s">
        <v>72</v>
      </c>
      <c r="D6" t="s">
        <v>88</v>
      </c>
      <c r="E6" t="s">
        <v>89</v>
      </c>
      <c r="F6">
        <v>316210</v>
      </c>
      <c r="G6" s="35" t="s">
        <v>75</v>
      </c>
      <c r="H6" s="31" t="s">
        <v>90</v>
      </c>
      <c r="J6" t="s">
        <v>77</v>
      </c>
      <c r="M6">
        <v>130</v>
      </c>
      <c r="P6" t="s">
        <v>78</v>
      </c>
      <c r="Q6" s="55">
        <v>118.18181818181817</v>
      </c>
      <c r="R6" s="32">
        <v>65</v>
      </c>
      <c r="S6" s="33">
        <v>0.33</v>
      </c>
      <c r="T6" s="34">
        <f t="shared" si="1"/>
        <v>97.014925373134332</v>
      </c>
      <c r="U6" s="34">
        <f t="shared" si="2"/>
        <v>98.227611940298502</v>
      </c>
      <c r="V6" t="s">
        <v>79</v>
      </c>
      <c r="W6" s="32">
        <v>15</v>
      </c>
      <c r="X6" s="32" t="s">
        <v>80</v>
      </c>
      <c r="AD6" s="1">
        <v>195018758682</v>
      </c>
      <c r="AF6" s="52"/>
      <c r="AN6">
        <v>30</v>
      </c>
      <c r="AO6" t="s">
        <v>81</v>
      </c>
    </row>
    <row r="7" spans="1:52" ht="60" x14ac:dyDescent="0.25">
      <c r="A7" s="2">
        <v>195018758699</v>
      </c>
      <c r="B7" t="s">
        <v>71</v>
      </c>
      <c r="C7" t="s">
        <v>72</v>
      </c>
      <c r="D7" t="s">
        <v>91</v>
      </c>
      <c r="E7" t="s">
        <v>92</v>
      </c>
      <c r="F7">
        <v>316210</v>
      </c>
      <c r="G7" s="35" t="s">
        <v>75</v>
      </c>
      <c r="H7" s="31" t="s">
        <v>93</v>
      </c>
      <c r="J7" t="s">
        <v>77</v>
      </c>
      <c r="M7">
        <v>130</v>
      </c>
      <c r="P7" t="s">
        <v>78</v>
      </c>
      <c r="Q7" s="55">
        <v>118.18181818181817</v>
      </c>
      <c r="R7" s="32">
        <v>65</v>
      </c>
      <c r="S7" s="33">
        <v>0.33</v>
      </c>
      <c r="T7" s="34">
        <f t="shared" si="1"/>
        <v>97.014925373134332</v>
      </c>
      <c r="U7" s="34">
        <f t="shared" si="2"/>
        <v>98.227611940298502</v>
      </c>
      <c r="V7" t="s">
        <v>79</v>
      </c>
      <c r="W7" s="32">
        <v>15</v>
      </c>
      <c r="X7" s="32" t="s">
        <v>80</v>
      </c>
      <c r="AD7" s="1">
        <v>195018758699</v>
      </c>
      <c r="AN7">
        <v>30</v>
      </c>
      <c r="AO7" t="s">
        <v>81</v>
      </c>
    </row>
    <row r="8" spans="1:52" ht="60" x14ac:dyDescent="0.25">
      <c r="A8" s="2">
        <v>195018758705</v>
      </c>
      <c r="B8" t="s">
        <v>71</v>
      </c>
      <c r="C8" t="s">
        <v>72</v>
      </c>
      <c r="D8" t="s">
        <v>94</v>
      </c>
      <c r="E8" t="s">
        <v>95</v>
      </c>
      <c r="F8">
        <v>316210</v>
      </c>
      <c r="G8" s="35" t="s">
        <v>75</v>
      </c>
      <c r="H8" s="31" t="s">
        <v>96</v>
      </c>
      <c r="J8" t="s">
        <v>77</v>
      </c>
      <c r="M8">
        <v>130</v>
      </c>
      <c r="P8" t="s">
        <v>78</v>
      </c>
      <c r="Q8" s="55">
        <v>118.18181818181817</v>
      </c>
      <c r="R8" s="32">
        <v>65</v>
      </c>
      <c r="S8" s="33">
        <v>0.33</v>
      </c>
      <c r="T8" s="34">
        <f t="shared" si="1"/>
        <v>97.014925373134332</v>
      </c>
      <c r="U8" s="34">
        <f t="shared" si="2"/>
        <v>98.227611940298502</v>
      </c>
      <c r="V8" t="s">
        <v>79</v>
      </c>
      <c r="W8" s="32">
        <v>15</v>
      </c>
      <c r="X8" s="32" t="s">
        <v>80</v>
      </c>
      <c r="AD8" s="1">
        <v>195018758705</v>
      </c>
      <c r="AN8">
        <v>30</v>
      </c>
      <c r="AO8" t="s">
        <v>81</v>
      </c>
    </row>
    <row r="9" spans="1:52" ht="60" x14ac:dyDescent="0.25">
      <c r="A9" s="2">
        <v>195018758712</v>
      </c>
      <c r="B9" t="s">
        <v>71</v>
      </c>
      <c r="C9" t="s">
        <v>72</v>
      </c>
      <c r="D9" t="s">
        <v>97</v>
      </c>
      <c r="E9" t="s">
        <v>98</v>
      </c>
      <c r="F9">
        <v>316210</v>
      </c>
      <c r="G9" s="35" t="s">
        <v>75</v>
      </c>
      <c r="H9" s="31" t="s">
        <v>99</v>
      </c>
      <c r="J9" t="s">
        <v>77</v>
      </c>
      <c r="M9">
        <v>130</v>
      </c>
      <c r="P9" t="s">
        <v>78</v>
      </c>
      <c r="Q9" s="55">
        <v>118.18181818181817</v>
      </c>
      <c r="R9" s="32">
        <v>65</v>
      </c>
      <c r="S9" s="33">
        <v>0.33</v>
      </c>
      <c r="T9" s="34">
        <f t="shared" si="1"/>
        <v>97.014925373134332</v>
      </c>
      <c r="U9" s="34">
        <f t="shared" si="2"/>
        <v>98.227611940298502</v>
      </c>
      <c r="V9" t="s">
        <v>79</v>
      </c>
      <c r="W9" s="32">
        <v>15</v>
      </c>
      <c r="X9" s="32" t="s">
        <v>80</v>
      </c>
      <c r="AD9" s="1">
        <v>195018758712</v>
      </c>
      <c r="AN9">
        <v>30</v>
      </c>
      <c r="AO9" t="s">
        <v>81</v>
      </c>
    </row>
    <row r="10" spans="1:52" ht="60" x14ac:dyDescent="0.25">
      <c r="A10" s="2">
        <v>195018758729</v>
      </c>
      <c r="B10" t="s">
        <v>71</v>
      </c>
      <c r="C10" t="s">
        <v>72</v>
      </c>
      <c r="D10" t="s">
        <v>100</v>
      </c>
      <c r="E10" t="s">
        <v>101</v>
      </c>
      <c r="F10">
        <v>316210</v>
      </c>
      <c r="G10" s="35" t="s">
        <v>75</v>
      </c>
      <c r="H10" s="31" t="s">
        <v>102</v>
      </c>
      <c r="J10" t="s">
        <v>77</v>
      </c>
      <c r="M10">
        <v>130</v>
      </c>
      <c r="P10" t="s">
        <v>78</v>
      </c>
      <c r="Q10" s="55">
        <v>118.18181818181817</v>
      </c>
      <c r="R10" s="32">
        <v>65</v>
      </c>
      <c r="S10" s="33">
        <v>0.33</v>
      </c>
      <c r="T10" s="34">
        <f t="shared" si="1"/>
        <v>97.014925373134332</v>
      </c>
      <c r="U10" s="34">
        <f t="shared" si="2"/>
        <v>98.227611940298502</v>
      </c>
      <c r="V10" t="s">
        <v>79</v>
      </c>
      <c r="W10" s="32">
        <v>15</v>
      </c>
      <c r="X10" s="32" t="s">
        <v>80</v>
      </c>
      <c r="AD10" s="1">
        <v>195018758729</v>
      </c>
      <c r="AN10">
        <v>30</v>
      </c>
      <c r="AO10" t="s">
        <v>81</v>
      </c>
    </row>
    <row r="11" spans="1:52" ht="60" x14ac:dyDescent="0.25">
      <c r="A11" s="2">
        <v>195018758736</v>
      </c>
      <c r="B11" t="s">
        <v>71</v>
      </c>
      <c r="C11" t="s">
        <v>72</v>
      </c>
      <c r="D11" t="s">
        <v>103</v>
      </c>
      <c r="E11" t="s">
        <v>104</v>
      </c>
      <c r="F11">
        <v>316210</v>
      </c>
      <c r="G11" s="35" t="s">
        <v>75</v>
      </c>
      <c r="H11" s="31" t="s">
        <v>105</v>
      </c>
      <c r="J11" t="s">
        <v>77</v>
      </c>
      <c r="M11">
        <v>130</v>
      </c>
      <c r="P11" t="s">
        <v>78</v>
      </c>
      <c r="Q11" s="55">
        <v>118.18181818181817</v>
      </c>
      <c r="R11" s="32">
        <v>65</v>
      </c>
      <c r="S11" s="33">
        <v>0.33</v>
      </c>
      <c r="T11" s="34">
        <f t="shared" si="1"/>
        <v>97.014925373134332</v>
      </c>
      <c r="U11" s="34">
        <f t="shared" si="2"/>
        <v>98.227611940298502</v>
      </c>
      <c r="V11" t="s">
        <v>79</v>
      </c>
      <c r="W11" s="32">
        <v>15</v>
      </c>
      <c r="X11" s="32" t="s">
        <v>80</v>
      </c>
      <c r="AD11" s="1">
        <v>195018758736</v>
      </c>
      <c r="AN11">
        <v>30</v>
      </c>
      <c r="AO11" t="s">
        <v>81</v>
      </c>
    </row>
    <row r="12" spans="1:52" ht="60" x14ac:dyDescent="0.25">
      <c r="A12" s="2">
        <v>195018758514</v>
      </c>
      <c r="B12" t="s">
        <v>71</v>
      </c>
      <c r="C12" t="s">
        <v>72</v>
      </c>
      <c r="D12" t="s">
        <v>106</v>
      </c>
      <c r="E12" t="s">
        <v>107</v>
      </c>
      <c r="F12">
        <v>316210</v>
      </c>
      <c r="G12" s="35" t="s">
        <v>75</v>
      </c>
      <c r="H12" s="31" t="s">
        <v>108</v>
      </c>
      <c r="J12" t="s">
        <v>77</v>
      </c>
      <c r="M12">
        <v>130</v>
      </c>
      <c r="P12" t="s">
        <v>78</v>
      </c>
      <c r="Q12" s="55">
        <v>118.18181818181817</v>
      </c>
      <c r="R12" s="32">
        <v>65</v>
      </c>
      <c r="S12" s="33">
        <v>0.33</v>
      </c>
      <c r="T12" s="34">
        <f t="shared" si="1"/>
        <v>97.014925373134332</v>
      </c>
      <c r="U12" s="34">
        <f t="shared" si="2"/>
        <v>98.227611940298502</v>
      </c>
      <c r="V12" t="s">
        <v>79</v>
      </c>
      <c r="W12" s="32">
        <v>15</v>
      </c>
      <c r="X12" s="32" t="s">
        <v>80</v>
      </c>
      <c r="AD12" s="1">
        <v>195018758514</v>
      </c>
      <c r="AN12">
        <v>30</v>
      </c>
      <c r="AO12" t="s">
        <v>81</v>
      </c>
    </row>
    <row r="13" spans="1:52" ht="60" x14ac:dyDescent="0.25">
      <c r="A13" s="2">
        <v>195018758743</v>
      </c>
      <c r="B13" t="s">
        <v>71</v>
      </c>
      <c r="C13" t="s">
        <v>72</v>
      </c>
      <c r="D13" t="s">
        <v>109</v>
      </c>
      <c r="E13" t="s">
        <v>110</v>
      </c>
      <c r="F13">
        <v>316210</v>
      </c>
      <c r="G13" s="35" t="s">
        <v>75</v>
      </c>
      <c r="H13" s="31" t="s">
        <v>111</v>
      </c>
      <c r="J13" t="s">
        <v>77</v>
      </c>
      <c r="M13">
        <v>130</v>
      </c>
      <c r="P13" t="s">
        <v>78</v>
      </c>
      <c r="Q13" s="55">
        <v>118.18181818181817</v>
      </c>
      <c r="R13" s="32">
        <v>65</v>
      </c>
      <c r="S13" s="33">
        <v>0.33</v>
      </c>
      <c r="T13" s="34">
        <f t="shared" si="1"/>
        <v>97.014925373134332</v>
      </c>
      <c r="U13" s="34">
        <f t="shared" si="2"/>
        <v>98.227611940298502</v>
      </c>
      <c r="V13" t="s">
        <v>79</v>
      </c>
      <c r="W13" s="32">
        <v>15</v>
      </c>
      <c r="X13" s="32" t="s">
        <v>80</v>
      </c>
      <c r="AD13" s="1">
        <v>195018758743</v>
      </c>
      <c r="AN13">
        <v>30</v>
      </c>
      <c r="AO13" t="s">
        <v>81</v>
      </c>
    </row>
    <row r="14" spans="1:52" ht="60" x14ac:dyDescent="0.25">
      <c r="A14" s="2">
        <v>195018758521</v>
      </c>
      <c r="B14" t="s">
        <v>71</v>
      </c>
      <c r="C14" t="s">
        <v>72</v>
      </c>
      <c r="D14" t="s">
        <v>112</v>
      </c>
      <c r="E14" t="s">
        <v>113</v>
      </c>
      <c r="F14">
        <v>316210</v>
      </c>
      <c r="G14" s="35" t="s">
        <v>75</v>
      </c>
      <c r="H14" s="31" t="s">
        <v>114</v>
      </c>
      <c r="J14" t="s">
        <v>77</v>
      </c>
      <c r="M14">
        <v>130</v>
      </c>
      <c r="P14" t="s">
        <v>78</v>
      </c>
      <c r="Q14" s="55">
        <v>118.18181818181817</v>
      </c>
      <c r="R14" s="32">
        <v>65</v>
      </c>
      <c r="S14" s="33">
        <v>0.33</v>
      </c>
      <c r="T14" s="34">
        <f t="shared" si="1"/>
        <v>97.014925373134332</v>
      </c>
      <c r="U14" s="34">
        <f t="shared" si="2"/>
        <v>98.227611940298502</v>
      </c>
      <c r="V14" t="s">
        <v>79</v>
      </c>
      <c r="W14" s="32">
        <v>15</v>
      </c>
      <c r="X14" s="32" t="s">
        <v>80</v>
      </c>
      <c r="AD14" s="1">
        <v>195018758521</v>
      </c>
      <c r="AN14">
        <v>30</v>
      </c>
      <c r="AO14" t="s">
        <v>81</v>
      </c>
    </row>
    <row r="15" spans="1:52" ht="60" x14ac:dyDescent="0.25">
      <c r="A15" s="2">
        <v>195018758750</v>
      </c>
      <c r="B15" t="s">
        <v>71</v>
      </c>
      <c r="C15" t="s">
        <v>72</v>
      </c>
      <c r="D15" t="s">
        <v>115</v>
      </c>
      <c r="E15" t="s">
        <v>116</v>
      </c>
      <c r="F15">
        <v>316210</v>
      </c>
      <c r="G15" s="35" t="s">
        <v>75</v>
      </c>
      <c r="H15" s="31" t="s">
        <v>117</v>
      </c>
      <c r="J15" t="s">
        <v>77</v>
      </c>
      <c r="M15">
        <v>130</v>
      </c>
      <c r="P15" t="s">
        <v>78</v>
      </c>
      <c r="Q15" s="55">
        <v>118.18181818181817</v>
      </c>
      <c r="R15" s="32">
        <v>65</v>
      </c>
      <c r="S15" s="33">
        <v>0.33</v>
      </c>
      <c r="T15" s="34">
        <f t="shared" si="1"/>
        <v>97.014925373134332</v>
      </c>
      <c r="U15" s="34">
        <f t="shared" si="2"/>
        <v>98.227611940298502</v>
      </c>
      <c r="V15" t="s">
        <v>79</v>
      </c>
      <c r="W15" s="32">
        <v>15</v>
      </c>
      <c r="X15" s="32" t="s">
        <v>80</v>
      </c>
      <c r="AD15" s="1">
        <v>195018758750</v>
      </c>
      <c r="AN15">
        <v>30</v>
      </c>
      <c r="AO15" t="s">
        <v>81</v>
      </c>
    </row>
    <row r="16" spans="1:52" ht="60" x14ac:dyDescent="0.25">
      <c r="A16" s="2">
        <v>195018758538</v>
      </c>
      <c r="B16" t="s">
        <v>71</v>
      </c>
      <c r="C16" t="s">
        <v>72</v>
      </c>
      <c r="D16" t="s">
        <v>118</v>
      </c>
      <c r="E16" t="s">
        <v>119</v>
      </c>
      <c r="F16">
        <v>316210</v>
      </c>
      <c r="G16" s="35" t="s">
        <v>75</v>
      </c>
      <c r="H16" s="31" t="s">
        <v>120</v>
      </c>
      <c r="J16" t="s">
        <v>77</v>
      </c>
      <c r="M16">
        <v>130</v>
      </c>
      <c r="P16" t="s">
        <v>78</v>
      </c>
      <c r="Q16" s="55">
        <v>118.18181818181817</v>
      </c>
      <c r="R16" s="32">
        <v>65</v>
      </c>
      <c r="S16" s="33">
        <v>0.33</v>
      </c>
      <c r="T16" s="34">
        <f t="shared" si="1"/>
        <v>97.014925373134332</v>
      </c>
      <c r="U16" s="34">
        <f t="shared" si="2"/>
        <v>98.227611940298502</v>
      </c>
      <c r="V16" t="s">
        <v>79</v>
      </c>
      <c r="W16" s="32">
        <v>15</v>
      </c>
      <c r="X16" s="32" t="s">
        <v>80</v>
      </c>
      <c r="AD16" s="1">
        <v>195018758538</v>
      </c>
      <c r="AN16">
        <v>30</v>
      </c>
      <c r="AO16" t="s">
        <v>81</v>
      </c>
    </row>
    <row r="17" spans="1:41" ht="60" x14ac:dyDescent="0.25">
      <c r="A17" s="2">
        <v>195018758767</v>
      </c>
      <c r="B17" t="s">
        <v>71</v>
      </c>
      <c r="C17" t="s">
        <v>72</v>
      </c>
      <c r="D17" t="s">
        <v>121</v>
      </c>
      <c r="E17" t="s">
        <v>122</v>
      </c>
      <c r="F17">
        <v>316210</v>
      </c>
      <c r="G17" s="35" t="s">
        <v>75</v>
      </c>
      <c r="H17" s="31" t="s">
        <v>123</v>
      </c>
      <c r="J17" t="s">
        <v>77</v>
      </c>
      <c r="M17">
        <v>130</v>
      </c>
      <c r="P17" t="s">
        <v>78</v>
      </c>
      <c r="Q17" s="55">
        <v>118.18181818181817</v>
      </c>
      <c r="R17" s="32">
        <v>65</v>
      </c>
      <c r="S17" s="33">
        <v>0.33</v>
      </c>
      <c r="T17" s="34">
        <f t="shared" si="1"/>
        <v>97.014925373134332</v>
      </c>
      <c r="U17" s="34">
        <f t="shared" si="2"/>
        <v>98.227611940298502</v>
      </c>
      <c r="V17" t="s">
        <v>79</v>
      </c>
      <c r="W17" s="32">
        <v>15</v>
      </c>
      <c r="X17" s="32" t="s">
        <v>80</v>
      </c>
      <c r="AD17" s="1">
        <v>195018758767</v>
      </c>
      <c r="AN17">
        <v>30</v>
      </c>
      <c r="AO17" t="s">
        <v>81</v>
      </c>
    </row>
    <row r="18" spans="1:41" ht="60" x14ac:dyDescent="0.25">
      <c r="A18" s="2">
        <v>195018758545</v>
      </c>
      <c r="B18" t="s">
        <v>71</v>
      </c>
      <c r="C18" t="s">
        <v>72</v>
      </c>
      <c r="D18" t="s">
        <v>124</v>
      </c>
      <c r="E18" t="s">
        <v>125</v>
      </c>
      <c r="F18">
        <v>316210</v>
      </c>
      <c r="G18" s="35" t="s">
        <v>75</v>
      </c>
      <c r="H18" s="31" t="s">
        <v>126</v>
      </c>
      <c r="J18" t="s">
        <v>77</v>
      </c>
      <c r="M18">
        <v>130</v>
      </c>
      <c r="P18" t="s">
        <v>78</v>
      </c>
      <c r="Q18" s="55">
        <v>118.18181818181817</v>
      </c>
      <c r="R18" s="32">
        <v>65</v>
      </c>
      <c r="S18" s="33">
        <v>0.33</v>
      </c>
      <c r="T18" s="34">
        <f t="shared" si="1"/>
        <v>97.014925373134332</v>
      </c>
      <c r="U18" s="34">
        <f t="shared" si="2"/>
        <v>98.227611940298502</v>
      </c>
      <c r="V18" t="s">
        <v>79</v>
      </c>
      <c r="W18" s="32">
        <v>15</v>
      </c>
      <c r="X18" s="32" t="s">
        <v>80</v>
      </c>
      <c r="AD18" s="1">
        <v>195018758545</v>
      </c>
      <c r="AN18">
        <v>30</v>
      </c>
      <c r="AO18" t="s">
        <v>81</v>
      </c>
    </row>
    <row r="19" spans="1:41" ht="60" x14ac:dyDescent="0.25">
      <c r="A19" s="2">
        <v>195018758774</v>
      </c>
      <c r="B19" t="s">
        <v>71</v>
      </c>
      <c r="C19" t="s">
        <v>72</v>
      </c>
      <c r="D19" t="s">
        <v>127</v>
      </c>
      <c r="E19" t="s">
        <v>128</v>
      </c>
      <c r="F19">
        <v>316210</v>
      </c>
      <c r="G19" s="35" t="s">
        <v>75</v>
      </c>
      <c r="H19" s="31" t="s">
        <v>129</v>
      </c>
      <c r="J19" t="s">
        <v>77</v>
      </c>
      <c r="M19">
        <v>130</v>
      </c>
      <c r="P19" t="s">
        <v>78</v>
      </c>
      <c r="Q19" s="55">
        <v>118.18181818181817</v>
      </c>
      <c r="R19" s="32">
        <v>65</v>
      </c>
      <c r="S19" s="33">
        <v>0.33</v>
      </c>
      <c r="T19" s="34">
        <f t="shared" si="1"/>
        <v>97.014925373134332</v>
      </c>
      <c r="U19" s="34">
        <f t="shared" si="2"/>
        <v>98.227611940298502</v>
      </c>
      <c r="V19" t="s">
        <v>79</v>
      </c>
      <c r="W19" s="32">
        <v>15</v>
      </c>
      <c r="X19" s="32" t="s">
        <v>80</v>
      </c>
      <c r="AD19" s="1">
        <v>195018758774</v>
      </c>
      <c r="AN19">
        <v>30</v>
      </c>
      <c r="AO19" t="s">
        <v>81</v>
      </c>
    </row>
    <row r="20" spans="1:41" ht="60" x14ac:dyDescent="0.25">
      <c r="A20" s="2">
        <v>195018758552</v>
      </c>
      <c r="B20" t="s">
        <v>71</v>
      </c>
      <c r="C20" t="s">
        <v>72</v>
      </c>
      <c r="D20" t="s">
        <v>130</v>
      </c>
      <c r="E20" t="s">
        <v>131</v>
      </c>
      <c r="F20">
        <v>316210</v>
      </c>
      <c r="G20" s="35" t="s">
        <v>75</v>
      </c>
      <c r="H20" s="31" t="s">
        <v>132</v>
      </c>
      <c r="J20" t="s">
        <v>77</v>
      </c>
      <c r="M20">
        <v>130</v>
      </c>
      <c r="P20" t="s">
        <v>78</v>
      </c>
      <c r="Q20" s="55">
        <v>118.18181818181817</v>
      </c>
      <c r="R20" s="32">
        <v>65</v>
      </c>
      <c r="S20" s="33">
        <v>0.33</v>
      </c>
      <c r="T20" s="34">
        <f t="shared" si="1"/>
        <v>97.014925373134332</v>
      </c>
      <c r="U20" s="34">
        <f t="shared" si="2"/>
        <v>98.227611940298502</v>
      </c>
      <c r="V20" t="s">
        <v>79</v>
      </c>
      <c r="W20" s="32">
        <v>15</v>
      </c>
      <c r="X20" s="32" t="s">
        <v>80</v>
      </c>
      <c r="AD20" s="1">
        <v>195018758552</v>
      </c>
      <c r="AN20">
        <v>30</v>
      </c>
      <c r="AO20" t="s">
        <v>81</v>
      </c>
    </row>
    <row r="21" spans="1:41" ht="60" x14ac:dyDescent="0.25">
      <c r="A21" s="2">
        <v>195018758781</v>
      </c>
      <c r="B21" t="s">
        <v>71</v>
      </c>
      <c r="C21" t="s">
        <v>72</v>
      </c>
      <c r="D21" t="s">
        <v>133</v>
      </c>
      <c r="E21" t="s">
        <v>134</v>
      </c>
      <c r="F21">
        <v>316210</v>
      </c>
      <c r="G21" s="35" t="s">
        <v>75</v>
      </c>
      <c r="H21" s="31" t="s">
        <v>135</v>
      </c>
      <c r="J21" t="s">
        <v>77</v>
      </c>
      <c r="M21">
        <v>130</v>
      </c>
      <c r="P21" t="s">
        <v>78</v>
      </c>
      <c r="Q21" s="55">
        <v>118.18181818181817</v>
      </c>
      <c r="R21" s="32">
        <v>65</v>
      </c>
      <c r="S21" s="33">
        <v>0.33</v>
      </c>
      <c r="T21" s="34">
        <f t="shared" si="1"/>
        <v>97.014925373134332</v>
      </c>
      <c r="U21" s="34">
        <f t="shared" si="2"/>
        <v>98.227611940298502</v>
      </c>
      <c r="V21" t="s">
        <v>79</v>
      </c>
      <c r="W21" s="32">
        <v>15</v>
      </c>
      <c r="X21" s="32" t="s">
        <v>80</v>
      </c>
      <c r="AD21" s="1">
        <v>195018758781</v>
      </c>
      <c r="AN21">
        <v>30</v>
      </c>
      <c r="AO21" t="s">
        <v>81</v>
      </c>
    </row>
    <row r="22" spans="1:41" ht="60" x14ac:dyDescent="0.25">
      <c r="A22" s="2">
        <v>195018758569</v>
      </c>
      <c r="B22" t="s">
        <v>71</v>
      </c>
      <c r="C22" t="s">
        <v>72</v>
      </c>
      <c r="D22" t="s">
        <v>136</v>
      </c>
      <c r="E22" t="s">
        <v>137</v>
      </c>
      <c r="F22">
        <v>316210</v>
      </c>
      <c r="G22" s="35" t="s">
        <v>75</v>
      </c>
      <c r="H22" s="31" t="s">
        <v>138</v>
      </c>
      <c r="J22" t="s">
        <v>77</v>
      </c>
      <c r="M22">
        <v>130</v>
      </c>
      <c r="P22" t="s">
        <v>78</v>
      </c>
      <c r="Q22" s="55">
        <v>118.18181818181817</v>
      </c>
      <c r="R22" s="32">
        <v>65</v>
      </c>
      <c r="S22" s="33">
        <v>0.33</v>
      </c>
      <c r="T22" s="34">
        <f t="shared" si="1"/>
        <v>97.014925373134332</v>
      </c>
      <c r="U22" s="34">
        <f t="shared" si="2"/>
        <v>98.227611940298502</v>
      </c>
      <c r="V22" t="s">
        <v>79</v>
      </c>
      <c r="W22" s="32">
        <v>15</v>
      </c>
      <c r="X22" s="32" t="s">
        <v>80</v>
      </c>
      <c r="AD22" s="1">
        <v>195018758569</v>
      </c>
      <c r="AN22">
        <v>30</v>
      </c>
      <c r="AO22" t="s">
        <v>81</v>
      </c>
    </row>
    <row r="23" spans="1:41" ht="60" x14ac:dyDescent="0.25">
      <c r="A23" s="2">
        <v>195018758798</v>
      </c>
      <c r="B23" t="s">
        <v>71</v>
      </c>
      <c r="C23" t="s">
        <v>72</v>
      </c>
      <c r="D23" t="s">
        <v>139</v>
      </c>
      <c r="E23" t="s">
        <v>140</v>
      </c>
      <c r="F23">
        <v>316210</v>
      </c>
      <c r="G23" s="35" t="s">
        <v>75</v>
      </c>
      <c r="H23" s="31" t="s">
        <v>141</v>
      </c>
      <c r="J23" t="s">
        <v>77</v>
      </c>
      <c r="M23">
        <v>130</v>
      </c>
      <c r="P23" t="s">
        <v>78</v>
      </c>
      <c r="Q23" s="55">
        <v>118.18181818181817</v>
      </c>
      <c r="R23" s="32">
        <v>65</v>
      </c>
      <c r="S23" s="33">
        <v>0.33</v>
      </c>
      <c r="T23" s="34">
        <f t="shared" si="1"/>
        <v>97.014925373134332</v>
      </c>
      <c r="U23" s="34">
        <f t="shared" si="2"/>
        <v>98.227611940298502</v>
      </c>
      <c r="V23" t="s">
        <v>79</v>
      </c>
      <c r="W23" s="32">
        <v>15</v>
      </c>
      <c r="X23" s="32" t="s">
        <v>80</v>
      </c>
      <c r="AD23" s="1">
        <v>195018758798</v>
      </c>
      <c r="AN23">
        <v>30</v>
      </c>
      <c r="AO23" t="s">
        <v>81</v>
      </c>
    </row>
    <row r="24" spans="1:41" ht="60" x14ac:dyDescent="0.25">
      <c r="A24" s="2">
        <v>195018758576</v>
      </c>
      <c r="B24" t="s">
        <v>71</v>
      </c>
      <c r="C24" t="s">
        <v>72</v>
      </c>
      <c r="D24" t="s">
        <v>142</v>
      </c>
      <c r="E24" t="s">
        <v>143</v>
      </c>
      <c r="F24">
        <v>316210</v>
      </c>
      <c r="G24" s="35" t="s">
        <v>75</v>
      </c>
      <c r="H24" s="31" t="s">
        <v>144</v>
      </c>
      <c r="J24" t="s">
        <v>77</v>
      </c>
      <c r="M24">
        <v>130</v>
      </c>
      <c r="P24" t="s">
        <v>78</v>
      </c>
      <c r="Q24" s="55">
        <v>118.18181818181817</v>
      </c>
      <c r="R24" s="32">
        <v>65</v>
      </c>
      <c r="S24" s="33">
        <v>0.33</v>
      </c>
      <c r="T24" s="34">
        <f t="shared" si="1"/>
        <v>97.014925373134332</v>
      </c>
      <c r="U24" s="34">
        <f t="shared" si="2"/>
        <v>98.227611940298502</v>
      </c>
      <c r="V24" t="s">
        <v>79</v>
      </c>
      <c r="W24" s="32">
        <v>15</v>
      </c>
      <c r="X24" s="32" t="s">
        <v>80</v>
      </c>
      <c r="AD24" s="1">
        <v>195018758576</v>
      </c>
      <c r="AN24">
        <v>30</v>
      </c>
      <c r="AO24" t="s">
        <v>81</v>
      </c>
    </row>
    <row r="25" spans="1:41" ht="60" x14ac:dyDescent="0.25">
      <c r="A25" s="2">
        <v>195018758804</v>
      </c>
      <c r="B25" t="s">
        <v>71</v>
      </c>
      <c r="C25" t="s">
        <v>72</v>
      </c>
      <c r="D25" t="s">
        <v>145</v>
      </c>
      <c r="E25" t="s">
        <v>146</v>
      </c>
      <c r="F25">
        <v>316210</v>
      </c>
      <c r="G25" s="35" t="s">
        <v>75</v>
      </c>
      <c r="H25" s="31" t="s">
        <v>147</v>
      </c>
      <c r="J25" t="s">
        <v>77</v>
      </c>
      <c r="M25">
        <v>130</v>
      </c>
      <c r="P25" t="s">
        <v>78</v>
      </c>
      <c r="Q25" s="55">
        <v>118.18181818181817</v>
      </c>
      <c r="R25" s="32">
        <v>65</v>
      </c>
      <c r="S25" s="33">
        <v>0.33</v>
      </c>
      <c r="T25" s="34">
        <f t="shared" si="1"/>
        <v>97.014925373134332</v>
      </c>
      <c r="U25" s="34">
        <f t="shared" si="2"/>
        <v>98.227611940298502</v>
      </c>
      <c r="V25" t="s">
        <v>79</v>
      </c>
      <c r="W25" s="32">
        <v>15</v>
      </c>
      <c r="X25" s="32" t="s">
        <v>80</v>
      </c>
      <c r="AD25" s="1">
        <v>195018758804</v>
      </c>
      <c r="AN25">
        <v>30</v>
      </c>
      <c r="AO25" t="s">
        <v>81</v>
      </c>
    </row>
    <row r="26" spans="1:41" ht="60" x14ac:dyDescent="0.25">
      <c r="A26" s="2">
        <v>195018758583</v>
      </c>
      <c r="B26" t="s">
        <v>71</v>
      </c>
      <c r="C26" t="s">
        <v>72</v>
      </c>
      <c r="D26" t="s">
        <v>148</v>
      </c>
      <c r="E26" t="s">
        <v>149</v>
      </c>
      <c r="F26">
        <v>316210</v>
      </c>
      <c r="G26" s="35" t="s">
        <v>75</v>
      </c>
      <c r="H26" s="31" t="s">
        <v>150</v>
      </c>
      <c r="J26" t="s">
        <v>77</v>
      </c>
      <c r="M26">
        <v>130</v>
      </c>
      <c r="P26" t="s">
        <v>78</v>
      </c>
      <c r="Q26" s="55">
        <v>118.18181818181817</v>
      </c>
      <c r="R26" s="32">
        <v>65</v>
      </c>
      <c r="S26" s="33">
        <v>0.33</v>
      </c>
      <c r="T26" s="34">
        <f t="shared" si="1"/>
        <v>97.014925373134332</v>
      </c>
      <c r="U26" s="34">
        <f t="shared" si="2"/>
        <v>98.227611940298502</v>
      </c>
      <c r="V26" t="s">
        <v>79</v>
      </c>
      <c r="W26" s="32">
        <v>15</v>
      </c>
      <c r="X26" s="32" t="s">
        <v>80</v>
      </c>
      <c r="AD26" s="1">
        <v>195018758583</v>
      </c>
      <c r="AN26">
        <v>30</v>
      </c>
      <c r="AO26" t="s">
        <v>81</v>
      </c>
    </row>
    <row r="27" spans="1:41" ht="60" x14ac:dyDescent="0.25">
      <c r="A27" s="2">
        <v>195018758811</v>
      </c>
      <c r="B27" t="s">
        <v>71</v>
      </c>
      <c r="C27" t="s">
        <v>72</v>
      </c>
      <c r="D27" t="s">
        <v>151</v>
      </c>
      <c r="E27" t="s">
        <v>152</v>
      </c>
      <c r="F27">
        <v>316210</v>
      </c>
      <c r="G27" s="35" t="s">
        <v>75</v>
      </c>
      <c r="H27" s="31" t="s">
        <v>153</v>
      </c>
      <c r="J27" t="s">
        <v>77</v>
      </c>
      <c r="M27">
        <v>130</v>
      </c>
      <c r="P27" t="s">
        <v>78</v>
      </c>
      <c r="Q27" s="55">
        <v>118.18181818181817</v>
      </c>
      <c r="R27" s="32">
        <v>65</v>
      </c>
      <c r="S27" s="33">
        <v>0.33</v>
      </c>
      <c r="T27" s="34">
        <f t="shared" si="1"/>
        <v>97.014925373134332</v>
      </c>
      <c r="U27" s="34">
        <f t="shared" si="2"/>
        <v>98.227611940298502</v>
      </c>
      <c r="V27" t="s">
        <v>79</v>
      </c>
      <c r="W27" s="32">
        <v>15</v>
      </c>
      <c r="X27" s="32" t="s">
        <v>80</v>
      </c>
      <c r="AD27" s="1">
        <v>195018758811</v>
      </c>
      <c r="AN27">
        <v>30</v>
      </c>
      <c r="AO27" t="s">
        <v>81</v>
      </c>
    </row>
    <row r="28" spans="1:41" ht="60" x14ac:dyDescent="0.25">
      <c r="A28" s="2">
        <v>195018758590</v>
      </c>
      <c r="B28" t="s">
        <v>71</v>
      </c>
      <c r="C28" t="s">
        <v>72</v>
      </c>
      <c r="D28" t="s">
        <v>154</v>
      </c>
      <c r="E28" t="s">
        <v>155</v>
      </c>
      <c r="F28">
        <v>316210</v>
      </c>
      <c r="G28" s="35" t="s">
        <v>75</v>
      </c>
      <c r="H28" s="31" t="s">
        <v>156</v>
      </c>
      <c r="J28" t="s">
        <v>77</v>
      </c>
      <c r="M28">
        <v>130</v>
      </c>
      <c r="P28" t="s">
        <v>78</v>
      </c>
      <c r="Q28" s="55">
        <v>118.18181818181817</v>
      </c>
      <c r="R28" s="32">
        <v>65</v>
      </c>
      <c r="S28" s="33">
        <v>0.33</v>
      </c>
      <c r="T28" s="34">
        <f t="shared" si="1"/>
        <v>97.014925373134332</v>
      </c>
      <c r="U28" s="34">
        <f t="shared" si="2"/>
        <v>98.227611940298502</v>
      </c>
      <c r="V28" t="s">
        <v>79</v>
      </c>
      <c r="W28" s="32">
        <v>15</v>
      </c>
      <c r="X28" s="32" t="s">
        <v>80</v>
      </c>
      <c r="AD28" s="1">
        <v>195018758590</v>
      </c>
      <c r="AN28">
        <v>30</v>
      </c>
      <c r="AO28" t="s">
        <v>81</v>
      </c>
    </row>
    <row r="29" spans="1:41" ht="60" x14ac:dyDescent="0.25">
      <c r="A29" s="2">
        <v>195018758828</v>
      </c>
      <c r="B29" t="s">
        <v>71</v>
      </c>
      <c r="C29" t="s">
        <v>72</v>
      </c>
      <c r="D29" t="s">
        <v>157</v>
      </c>
      <c r="E29" t="s">
        <v>158</v>
      </c>
      <c r="F29">
        <v>316210</v>
      </c>
      <c r="G29" s="35" t="s">
        <v>75</v>
      </c>
      <c r="H29" s="31" t="s">
        <v>159</v>
      </c>
      <c r="J29" t="s">
        <v>77</v>
      </c>
      <c r="M29">
        <v>130</v>
      </c>
      <c r="P29" t="s">
        <v>78</v>
      </c>
      <c r="Q29" s="55">
        <v>118.18181818181817</v>
      </c>
      <c r="R29" s="32">
        <v>65</v>
      </c>
      <c r="S29" s="33">
        <v>0.33</v>
      </c>
      <c r="T29" s="34">
        <f t="shared" si="1"/>
        <v>97.014925373134332</v>
      </c>
      <c r="U29" s="34">
        <f t="shared" si="2"/>
        <v>98.227611940298502</v>
      </c>
      <c r="V29" t="s">
        <v>79</v>
      </c>
      <c r="W29" s="32">
        <v>15</v>
      </c>
      <c r="X29" s="32" t="s">
        <v>80</v>
      </c>
      <c r="AD29" s="1">
        <v>195018758828</v>
      </c>
      <c r="AN29">
        <v>30</v>
      </c>
      <c r="AO29" t="s">
        <v>81</v>
      </c>
    </row>
    <row r="30" spans="1:41" ht="60" x14ac:dyDescent="0.25">
      <c r="A30" s="2">
        <v>195018758606</v>
      </c>
      <c r="B30" t="s">
        <v>71</v>
      </c>
      <c r="C30" t="s">
        <v>72</v>
      </c>
      <c r="D30" t="s">
        <v>160</v>
      </c>
      <c r="E30" t="s">
        <v>161</v>
      </c>
      <c r="F30">
        <v>316210</v>
      </c>
      <c r="G30" s="35" t="s">
        <v>75</v>
      </c>
      <c r="H30" s="31" t="s">
        <v>162</v>
      </c>
      <c r="J30" t="s">
        <v>77</v>
      </c>
      <c r="M30">
        <v>130</v>
      </c>
      <c r="P30" t="s">
        <v>78</v>
      </c>
      <c r="Q30" s="55">
        <v>118.18181818181817</v>
      </c>
      <c r="R30" s="32">
        <v>65</v>
      </c>
      <c r="S30" s="33">
        <v>0.33</v>
      </c>
      <c r="T30" s="34">
        <f t="shared" si="1"/>
        <v>97.014925373134332</v>
      </c>
      <c r="U30" s="34">
        <f t="shared" si="2"/>
        <v>98.227611940298502</v>
      </c>
      <c r="V30" t="s">
        <v>79</v>
      </c>
      <c r="W30" s="32">
        <v>15</v>
      </c>
      <c r="X30" s="32" t="s">
        <v>80</v>
      </c>
      <c r="AD30" s="1">
        <v>195018758606</v>
      </c>
      <c r="AN30">
        <v>30</v>
      </c>
      <c r="AO30" t="s">
        <v>81</v>
      </c>
    </row>
    <row r="31" spans="1:41" ht="60" x14ac:dyDescent="0.25">
      <c r="A31" s="2">
        <v>195018758835</v>
      </c>
      <c r="B31" t="s">
        <v>71</v>
      </c>
      <c r="C31" t="s">
        <v>72</v>
      </c>
      <c r="D31" t="s">
        <v>163</v>
      </c>
      <c r="E31" t="s">
        <v>164</v>
      </c>
      <c r="F31">
        <v>316210</v>
      </c>
      <c r="G31" s="35" t="s">
        <v>75</v>
      </c>
      <c r="H31" s="31" t="s">
        <v>165</v>
      </c>
      <c r="J31" t="s">
        <v>77</v>
      </c>
      <c r="M31">
        <v>130</v>
      </c>
      <c r="P31" t="s">
        <v>78</v>
      </c>
      <c r="Q31" s="55">
        <v>118.18181818181817</v>
      </c>
      <c r="R31" s="32">
        <v>65</v>
      </c>
      <c r="S31" s="33">
        <v>0.33</v>
      </c>
      <c r="T31" s="34">
        <f t="shared" si="1"/>
        <v>97.014925373134332</v>
      </c>
      <c r="U31" s="34">
        <f t="shared" si="2"/>
        <v>98.227611940298502</v>
      </c>
      <c r="V31" t="s">
        <v>79</v>
      </c>
      <c r="W31" s="32">
        <v>15</v>
      </c>
      <c r="X31" s="32" t="s">
        <v>80</v>
      </c>
      <c r="AD31" s="1">
        <v>195018758835</v>
      </c>
      <c r="AN31">
        <v>30</v>
      </c>
      <c r="AO31" t="s">
        <v>81</v>
      </c>
    </row>
    <row r="32" spans="1:41" ht="60" x14ac:dyDescent="0.25">
      <c r="A32" s="2">
        <v>195018758613</v>
      </c>
      <c r="B32" t="s">
        <v>71</v>
      </c>
      <c r="C32" t="s">
        <v>72</v>
      </c>
      <c r="D32" t="s">
        <v>166</v>
      </c>
      <c r="E32" t="s">
        <v>167</v>
      </c>
      <c r="F32">
        <v>316210</v>
      </c>
      <c r="G32" s="35" t="s">
        <v>75</v>
      </c>
      <c r="H32" s="31" t="s">
        <v>168</v>
      </c>
      <c r="J32" t="s">
        <v>77</v>
      </c>
      <c r="M32">
        <v>130</v>
      </c>
      <c r="P32" t="s">
        <v>78</v>
      </c>
      <c r="Q32" s="55">
        <v>118.18181818181817</v>
      </c>
      <c r="R32" s="32">
        <v>65</v>
      </c>
      <c r="S32" s="33">
        <v>0.33</v>
      </c>
      <c r="T32" s="34">
        <f t="shared" si="1"/>
        <v>97.014925373134332</v>
      </c>
      <c r="U32" s="34">
        <f t="shared" si="2"/>
        <v>98.227611940298502</v>
      </c>
      <c r="V32" t="s">
        <v>79</v>
      </c>
      <c r="W32" s="32">
        <v>15</v>
      </c>
      <c r="X32" s="32" t="s">
        <v>80</v>
      </c>
      <c r="AD32" s="1">
        <v>195018758613</v>
      </c>
      <c r="AN32">
        <v>30</v>
      </c>
      <c r="AO32" t="s">
        <v>81</v>
      </c>
    </row>
    <row r="33" spans="1:41" ht="60" x14ac:dyDescent="0.25">
      <c r="A33" s="2">
        <v>195018758842</v>
      </c>
      <c r="B33" t="s">
        <v>71</v>
      </c>
      <c r="C33" t="s">
        <v>72</v>
      </c>
      <c r="D33" t="s">
        <v>169</v>
      </c>
      <c r="E33" t="s">
        <v>170</v>
      </c>
      <c r="F33">
        <v>316210</v>
      </c>
      <c r="G33" s="35" t="s">
        <v>75</v>
      </c>
      <c r="H33" s="31" t="s">
        <v>171</v>
      </c>
      <c r="J33" t="s">
        <v>77</v>
      </c>
      <c r="M33">
        <v>130</v>
      </c>
      <c r="P33" t="s">
        <v>78</v>
      </c>
      <c r="Q33" s="55">
        <v>118.18181818181817</v>
      </c>
      <c r="R33" s="32">
        <v>65</v>
      </c>
      <c r="S33" s="33">
        <v>0.33</v>
      </c>
      <c r="T33" s="34">
        <f t="shared" si="1"/>
        <v>97.014925373134332</v>
      </c>
      <c r="U33" s="34">
        <f t="shared" si="2"/>
        <v>98.227611940298502</v>
      </c>
      <c r="V33" t="s">
        <v>79</v>
      </c>
      <c r="W33" s="32">
        <v>15</v>
      </c>
      <c r="X33" s="32" t="s">
        <v>80</v>
      </c>
      <c r="AD33" s="1">
        <v>195018758842</v>
      </c>
      <c r="AN33">
        <v>30</v>
      </c>
      <c r="AO33" t="s">
        <v>81</v>
      </c>
    </row>
    <row r="34" spans="1:41" ht="60" x14ac:dyDescent="0.25">
      <c r="A34" s="2">
        <v>195018758620</v>
      </c>
      <c r="B34" t="s">
        <v>71</v>
      </c>
      <c r="C34" t="s">
        <v>72</v>
      </c>
      <c r="D34" t="s">
        <v>172</v>
      </c>
      <c r="E34" t="s">
        <v>173</v>
      </c>
      <c r="F34">
        <v>316210</v>
      </c>
      <c r="G34" s="35" t="s">
        <v>75</v>
      </c>
      <c r="H34" s="31" t="s">
        <v>174</v>
      </c>
      <c r="J34" t="s">
        <v>77</v>
      </c>
      <c r="M34">
        <v>130</v>
      </c>
      <c r="P34" t="s">
        <v>78</v>
      </c>
      <c r="Q34" s="55">
        <v>118.18181818181817</v>
      </c>
      <c r="R34" s="32">
        <v>65</v>
      </c>
      <c r="S34" s="33">
        <v>0.33</v>
      </c>
      <c r="T34" s="34">
        <f t="shared" si="1"/>
        <v>97.014925373134332</v>
      </c>
      <c r="U34" s="34">
        <f t="shared" si="2"/>
        <v>98.227611940298502</v>
      </c>
      <c r="V34" t="s">
        <v>79</v>
      </c>
      <c r="W34" s="32">
        <v>15</v>
      </c>
      <c r="X34" s="32" t="s">
        <v>80</v>
      </c>
      <c r="AD34" s="1">
        <v>195018758620</v>
      </c>
      <c r="AN34">
        <v>30</v>
      </c>
      <c r="AO34" t="s">
        <v>81</v>
      </c>
    </row>
    <row r="35" spans="1:41" ht="60" x14ac:dyDescent="0.25">
      <c r="A35" s="2">
        <v>195018758859</v>
      </c>
      <c r="B35" t="s">
        <v>71</v>
      </c>
      <c r="C35" t="s">
        <v>72</v>
      </c>
      <c r="D35" t="s">
        <v>175</v>
      </c>
      <c r="E35" t="s">
        <v>176</v>
      </c>
      <c r="F35">
        <v>316210</v>
      </c>
      <c r="G35" s="35" t="s">
        <v>75</v>
      </c>
      <c r="H35" s="31" t="s">
        <v>177</v>
      </c>
      <c r="J35" t="s">
        <v>77</v>
      </c>
      <c r="M35">
        <v>130</v>
      </c>
      <c r="P35" t="s">
        <v>78</v>
      </c>
      <c r="Q35" s="55">
        <v>118.18181818181817</v>
      </c>
      <c r="R35" s="32">
        <v>65</v>
      </c>
      <c r="S35" s="33">
        <v>0.33</v>
      </c>
      <c r="T35" s="34">
        <f t="shared" si="1"/>
        <v>97.014925373134332</v>
      </c>
      <c r="U35" s="34">
        <f t="shared" si="2"/>
        <v>98.227611940298502</v>
      </c>
      <c r="V35" t="s">
        <v>79</v>
      </c>
      <c r="W35" s="32">
        <v>15</v>
      </c>
      <c r="X35" s="32" t="s">
        <v>80</v>
      </c>
      <c r="AD35" s="1">
        <v>195018758859</v>
      </c>
      <c r="AN35">
        <v>30</v>
      </c>
      <c r="AO35" t="s">
        <v>81</v>
      </c>
    </row>
    <row r="36" spans="1:41" ht="60" x14ac:dyDescent="0.25">
      <c r="A36" s="2">
        <v>195018758637</v>
      </c>
      <c r="B36" t="s">
        <v>71</v>
      </c>
      <c r="C36" t="s">
        <v>72</v>
      </c>
      <c r="D36" t="s">
        <v>178</v>
      </c>
      <c r="E36" t="s">
        <v>179</v>
      </c>
      <c r="F36">
        <v>316210</v>
      </c>
      <c r="G36" s="35" t="s">
        <v>75</v>
      </c>
      <c r="H36" s="31" t="s">
        <v>180</v>
      </c>
      <c r="J36" t="s">
        <v>77</v>
      </c>
      <c r="M36">
        <v>130</v>
      </c>
      <c r="P36" t="s">
        <v>78</v>
      </c>
      <c r="Q36" s="55">
        <v>118.18181818181817</v>
      </c>
      <c r="R36" s="32">
        <v>65</v>
      </c>
      <c r="S36" s="33">
        <v>0.33</v>
      </c>
      <c r="T36" s="34">
        <f t="shared" si="1"/>
        <v>97.014925373134332</v>
      </c>
      <c r="U36" s="34">
        <f t="shared" si="2"/>
        <v>98.227611940298502</v>
      </c>
      <c r="V36" t="s">
        <v>79</v>
      </c>
      <c r="W36" s="32">
        <v>15</v>
      </c>
      <c r="X36" s="32" t="s">
        <v>80</v>
      </c>
      <c r="AD36" s="1">
        <v>195018758637</v>
      </c>
      <c r="AN36">
        <v>30</v>
      </c>
      <c r="AO36" t="s">
        <v>81</v>
      </c>
    </row>
    <row r="37" spans="1:41" ht="60" x14ac:dyDescent="0.25">
      <c r="A37" s="2">
        <v>195018758866</v>
      </c>
      <c r="B37" t="s">
        <v>71</v>
      </c>
      <c r="C37" t="s">
        <v>72</v>
      </c>
      <c r="D37" t="s">
        <v>181</v>
      </c>
      <c r="E37" t="s">
        <v>182</v>
      </c>
      <c r="F37">
        <v>316210</v>
      </c>
      <c r="G37" s="35" t="s">
        <v>75</v>
      </c>
      <c r="H37" s="31" t="s">
        <v>183</v>
      </c>
      <c r="J37" t="s">
        <v>77</v>
      </c>
      <c r="M37">
        <v>130</v>
      </c>
      <c r="P37" t="s">
        <v>78</v>
      </c>
      <c r="Q37" s="55">
        <v>118.18181818181817</v>
      </c>
      <c r="R37" s="32">
        <v>65</v>
      </c>
      <c r="S37" s="33">
        <v>0.33</v>
      </c>
      <c r="T37" s="34">
        <f t="shared" si="1"/>
        <v>97.014925373134332</v>
      </c>
      <c r="U37" s="34">
        <f t="shared" si="2"/>
        <v>98.227611940298502</v>
      </c>
      <c r="V37" t="s">
        <v>79</v>
      </c>
      <c r="W37" s="32">
        <v>15</v>
      </c>
      <c r="X37" s="32" t="s">
        <v>80</v>
      </c>
      <c r="AD37" s="1">
        <v>195018758866</v>
      </c>
      <c r="AN37">
        <v>30</v>
      </c>
      <c r="AO37" t="s">
        <v>81</v>
      </c>
    </row>
    <row r="38" spans="1:41" ht="60" x14ac:dyDescent="0.25">
      <c r="A38" s="2">
        <v>195018758644</v>
      </c>
      <c r="B38" t="s">
        <v>71</v>
      </c>
      <c r="C38" t="s">
        <v>72</v>
      </c>
      <c r="D38" t="s">
        <v>184</v>
      </c>
      <c r="E38" t="s">
        <v>185</v>
      </c>
      <c r="F38">
        <v>316210</v>
      </c>
      <c r="G38" s="35" t="s">
        <v>75</v>
      </c>
      <c r="H38" s="31" t="s">
        <v>186</v>
      </c>
      <c r="J38" t="s">
        <v>77</v>
      </c>
      <c r="M38">
        <v>130</v>
      </c>
      <c r="P38" t="s">
        <v>78</v>
      </c>
      <c r="Q38" s="55">
        <v>118.18181818181817</v>
      </c>
      <c r="R38" s="32">
        <v>65</v>
      </c>
      <c r="S38" s="33">
        <v>0.33</v>
      </c>
      <c r="T38" s="34">
        <f t="shared" si="1"/>
        <v>97.014925373134332</v>
      </c>
      <c r="U38" s="34">
        <f t="shared" si="2"/>
        <v>98.227611940298502</v>
      </c>
      <c r="V38" t="s">
        <v>79</v>
      </c>
      <c r="W38" s="32">
        <v>15</v>
      </c>
      <c r="X38" s="32" t="s">
        <v>80</v>
      </c>
      <c r="AD38" s="1">
        <v>195018758644</v>
      </c>
      <c r="AN38">
        <v>30</v>
      </c>
      <c r="AO38" t="s">
        <v>81</v>
      </c>
    </row>
    <row r="39" spans="1:41" ht="60" x14ac:dyDescent="0.25">
      <c r="A39" s="2">
        <v>195018759016</v>
      </c>
      <c r="B39" t="s">
        <v>71</v>
      </c>
      <c r="C39" t="s">
        <v>72</v>
      </c>
      <c r="D39" t="s">
        <v>187</v>
      </c>
      <c r="E39" t="s">
        <v>188</v>
      </c>
      <c r="F39">
        <v>316210</v>
      </c>
      <c r="G39" s="35" t="s">
        <v>75</v>
      </c>
      <c r="H39" s="31" t="s">
        <v>189</v>
      </c>
      <c r="J39" t="s">
        <v>77</v>
      </c>
      <c r="M39">
        <v>140</v>
      </c>
      <c r="P39" t="s">
        <v>78</v>
      </c>
      <c r="Q39" s="55">
        <v>127.27272727272727</v>
      </c>
      <c r="R39" s="32">
        <v>70</v>
      </c>
      <c r="S39" s="33">
        <v>0.33</v>
      </c>
      <c r="T39" s="34">
        <f t="shared" si="1"/>
        <v>104.47761194029852</v>
      </c>
      <c r="U39" s="34">
        <f t="shared" si="2"/>
        <v>105.78358208955224</v>
      </c>
      <c r="V39" t="s">
        <v>79</v>
      </c>
      <c r="W39" s="32">
        <v>15</v>
      </c>
      <c r="X39" s="32" t="s">
        <v>80</v>
      </c>
      <c r="AD39" s="1">
        <v>195018759016</v>
      </c>
      <c r="AN39">
        <v>30</v>
      </c>
      <c r="AO39" t="s">
        <v>81</v>
      </c>
    </row>
    <row r="40" spans="1:41" ht="60" x14ac:dyDescent="0.25">
      <c r="A40" s="2">
        <v>195018759023</v>
      </c>
      <c r="B40" t="s">
        <v>71</v>
      </c>
      <c r="C40" t="s">
        <v>72</v>
      </c>
      <c r="D40" t="s">
        <v>190</v>
      </c>
      <c r="E40" t="s">
        <v>191</v>
      </c>
      <c r="F40">
        <v>316210</v>
      </c>
      <c r="G40" s="35" t="s">
        <v>75</v>
      </c>
      <c r="H40" s="31" t="s">
        <v>84</v>
      </c>
      <c r="J40" t="s">
        <v>77</v>
      </c>
      <c r="M40">
        <v>140</v>
      </c>
      <c r="P40" t="s">
        <v>78</v>
      </c>
      <c r="Q40" s="55">
        <v>127.27272727272727</v>
      </c>
      <c r="R40" s="32">
        <v>70</v>
      </c>
      <c r="S40" s="33">
        <v>0.33</v>
      </c>
      <c r="T40" s="34">
        <f t="shared" si="1"/>
        <v>104.47761194029852</v>
      </c>
      <c r="U40" s="34">
        <f t="shared" si="2"/>
        <v>105.78358208955224</v>
      </c>
      <c r="V40" t="s">
        <v>79</v>
      </c>
      <c r="W40" s="32">
        <v>15</v>
      </c>
      <c r="X40" s="32" t="s">
        <v>80</v>
      </c>
      <c r="AD40" s="1">
        <v>195018759023</v>
      </c>
      <c r="AN40">
        <v>30</v>
      </c>
      <c r="AO40" t="s">
        <v>81</v>
      </c>
    </row>
    <row r="41" spans="1:41" ht="60" x14ac:dyDescent="0.25">
      <c r="A41" s="2">
        <v>195018759030</v>
      </c>
      <c r="B41" t="s">
        <v>71</v>
      </c>
      <c r="C41" t="s">
        <v>72</v>
      </c>
      <c r="D41" t="s">
        <v>192</v>
      </c>
      <c r="E41" t="s">
        <v>193</v>
      </c>
      <c r="F41">
        <v>316210</v>
      </c>
      <c r="G41" s="35" t="s">
        <v>75</v>
      </c>
      <c r="H41" s="31" t="s">
        <v>87</v>
      </c>
      <c r="J41" t="s">
        <v>77</v>
      </c>
      <c r="M41">
        <v>140</v>
      </c>
      <c r="P41" t="s">
        <v>78</v>
      </c>
      <c r="Q41" s="55">
        <v>127.27272727272727</v>
      </c>
      <c r="R41" s="32">
        <v>70</v>
      </c>
      <c r="S41" s="33">
        <v>0.33</v>
      </c>
      <c r="T41" s="34">
        <f t="shared" si="1"/>
        <v>104.47761194029852</v>
      </c>
      <c r="U41" s="34">
        <f t="shared" si="2"/>
        <v>105.78358208955224</v>
      </c>
      <c r="V41" t="s">
        <v>79</v>
      </c>
      <c r="W41" s="32">
        <v>15</v>
      </c>
      <c r="X41" s="32" t="s">
        <v>80</v>
      </c>
      <c r="AD41" s="1">
        <v>195018759030</v>
      </c>
      <c r="AN41">
        <v>30</v>
      </c>
      <c r="AO41" t="s">
        <v>81</v>
      </c>
    </row>
    <row r="42" spans="1:41" ht="60" x14ac:dyDescent="0.25">
      <c r="A42" s="2">
        <v>195018759047</v>
      </c>
      <c r="B42" t="s">
        <v>71</v>
      </c>
      <c r="C42" t="s">
        <v>72</v>
      </c>
      <c r="D42" t="s">
        <v>194</v>
      </c>
      <c r="E42" t="s">
        <v>195</v>
      </c>
      <c r="F42">
        <v>316210</v>
      </c>
      <c r="G42" s="35" t="s">
        <v>75</v>
      </c>
      <c r="H42" s="31" t="s">
        <v>90</v>
      </c>
      <c r="J42" t="s">
        <v>77</v>
      </c>
      <c r="M42">
        <v>140</v>
      </c>
      <c r="P42" t="s">
        <v>78</v>
      </c>
      <c r="Q42" s="55">
        <v>127.27272727272727</v>
      </c>
      <c r="R42" s="32">
        <v>70</v>
      </c>
      <c r="S42" s="33">
        <v>0.33</v>
      </c>
      <c r="T42" s="34">
        <f t="shared" si="1"/>
        <v>104.47761194029852</v>
      </c>
      <c r="U42" s="34">
        <f t="shared" si="2"/>
        <v>105.78358208955224</v>
      </c>
      <c r="V42" t="s">
        <v>79</v>
      </c>
      <c r="W42" s="32">
        <v>15</v>
      </c>
      <c r="X42" s="32" t="s">
        <v>80</v>
      </c>
      <c r="AD42" s="1">
        <v>195018759047</v>
      </c>
      <c r="AN42">
        <v>30</v>
      </c>
      <c r="AO42" t="s">
        <v>81</v>
      </c>
    </row>
    <row r="43" spans="1:41" ht="60" x14ac:dyDescent="0.25">
      <c r="A43" s="2">
        <v>195018759054</v>
      </c>
      <c r="B43" t="s">
        <v>71</v>
      </c>
      <c r="C43" t="s">
        <v>72</v>
      </c>
      <c r="D43" t="s">
        <v>196</v>
      </c>
      <c r="E43" t="s">
        <v>197</v>
      </c>
      <c r="F43">
        <v>316210</v>
      </c>
      <c r="G43" s="35" t="s">
        <v>75</v>
      </c>
      <c r="H43" s="31" t="s">
        <v>93</v>
      </c>
      <c r="J43" t="s">
        <v>77</v>
      </c>
      <c r="M43">
        <v>140</v>
      </c>
      <c r="P43" t="s">
        <v>78</v>
      </c>
      <c r="Q43" s="55">
        <v>127.27272727272727</v>
      </c>
      <c r="R43" s="32">
        <v>70</v>
      </c>
      <c r="S43" s="33">
        <v>0.33</v>
      </c>
      <c r="T43" s="34">
        <f t="shared" si="1"/>
        <v>104.47761194029852</v>
      </c>
      <c r="U43" s="34">
        <f t="shared" si="2"/>
        <v>105.78358208955224</v>
      </c>
      <c r="V43" t="s">
        <v>79</v>
      </c>
      <c r="W43" s="32">
        <v>15</v>
      </c>
      <c r="X43" s="32" t="s">
        <v>80</v>
      </c>
      <c r="AD43" s="1">
        <v>195018759054</v>
      </c>
      <c r="AN43">
        <v>30</v>
      </c>
      <c r="AO43" t="s">
        <v>81</v>
      </c>
    </row>
    <row r="44" spans="1:41" ht="60" x14ac:dyDescent="0.25">
      <c r="A44" s="2">
        <v>195018759061</v>
      </c>
      <c r="B44" t="s">
        <v>71</v>
      </c>
      <c r="C44" t="s">
        <v>72</v>
      </c>
      <c r="D44" t="s">
        <v>198</v>
      </c>
      <c r="E44" t="s">
        <v>199</v>
      </c>
      <c r="F44">
        <v>316210</v>
      </c>
      <c r="G44" s="35" t="s">
        <v>75</v>
      </c>
      <c r="H44" s="31" t="s">
        <v>96</v>
      </c>
      <c r="J44" t="s">
        <v>77</v>
      </c>
      <c r="M44">
        <v>140</v>
      </c>
      <c r="P44" t="s">
        <v>78</v>
      </c>
      <c r="Q44" s="55">
        <v>127.27272727272727</v>
      </c>
      <c r="R44" s="32">
        <v>70</v>
      </c>
      <c r="S44" s="33">
        <v>0.33</v>
      </c>
      <c r="T44" s="34">
        <f t="shared" si="1"/>
        <v>104.47761194029852</v>
      </c>
      <c r="U44" s="34">
        <f t="shared" si="2"/>
        <v>105.78358208955224</v>
      </c>
      <c r="V44" t="s">
        <v>79</v>
      </c>
      <c r="W44" s="32">
        <v>15</v>
      </c>
      <c r="X44" s="32" t="s">
        <v>80</v>
      </c>
      <c r="AD44" s="1">
        <v>195018759061</v>
      </c>
      <c r="AN44">
        <v>30</v>
      </c>
      <c r="AO44" t="s">
        <v>81</v>
      </c>
    </row>
    <row r="45" spans="1:41" ht="60" x14ac:dyDescent="0.25">
      <c r="A45" s="2">
        <v>195018759078</v>
      </c>
      <c r="B45" t="s">
        <v>71</v>
      </c>
      <c r="C45" t="s">
        <v>72</v>
      </c>
      <c r="D45" t="s">
        <v>200</v>
      </c>
      <c r="E45" t="s">
        <v>201</v>
      </c>
      <c r="F45">
        <v>316210</v>
      </c>
      <c r="G45" s="35" t="s">
        <v>75</v>
      </c>
      <c r="H45" s="31" t="s">
        <v>99</v>
      </c>
      <c r="J45" t="s">
        <v>77</v>
      </c>
      <c r="M45">
        <v>140</v>
      </c>
      <c r="P45" t="s">
        <v>78</v>
      </c>
      <c r="Q45" s="55">
        <v>127.27272727272727</v>
      </c>
      <c r="R45" s="32">
        <v>70</v>
      </c>
      <c r="S45" s="33">
        <v>0.33</v>
      </c>
      <c r="T45" s="34">
        <f t="shared" si="1"/>
        <v>104.47761194029852</v>
      </c>
      <c r="U45" s="34">
        <f t="shared" si="2"/>
        <v>105.78358208955224</v>
      </c>
      <c r="V45" t="s">
        <v>79</v>
      </c>
      <c r="W45" s="32">
        <v>15</v>
      </c>
      <c r="X45" s="32" t="s">
        <v>80</v>
      </c>
      <c r="AD45" s="1">
        <v>195018759078</v>
      </c>
      <c r="AN45">
        <v>30</v>
      </c>
      <c r="AO45" t="s">
        <v>81</v>
      </c>
    </row>
    <row r="46" spans="1:41" ht="60" x14ac:dyDescent="0.25">
      <c r="A46" s="2">
        <v>195018759085</v>
      </c>
      <c r="B46" t="s">
        <v>71</v>
      </c>
      <c r="C46" t="s">
        <v>72</v>
      </c>
      <c r="D46" t="s">
        <v>202</v>
      </c>
      <c r="E46" t="s">
        <v>203</v>
      </c>
      <c r="F46">
        <v>316210</v>
      </c>
      <c r="G46" s="35" t="s">
        <v>75</v>
      </c>
      <c r="H46" s="31" t="s">
        <v>102</v>
      </c>
      <c r="J46" t="s">
        <v>77</v>
      </c>
      <c r="M46">
        <v>140</v>
      </c>
      <c r="P46" t="s">
        <v>78</v>
      </c>
      <c r="Q46" s="55">
        <v>127.27272727272727</v>
      </c>
      <c r="R46" s="32">
        <v>70</v>
      </c>
      <c r="S46" s="33">
        <v>0.33</v>
      </c>
      <c r="T46" s="34">
        <f t="shared" si="1"/>
        <v>104.47761194029852</v>
      </c>
      <c r="U46" s="34">
        <f t="shared" si="2"/>
        <v>105.78358208955224</v>
      </c>
      <c r="V46" t="s">
        <v>79</v>
      </c>
      <c r="W46" s="32">
        <v>15</v>
      </c>
      <c r="X46" s="32" t="s">
        <v>80</v>
      </c>
      <c r="AD46" s="1">
        <v>195018759085</v>
      </c>
      <c r="AN46">
        <v>30</v>
      </c>
      <c r="AO46" t="s">
        <v>81</v>
      </c>
    </row>
    <row r="47" spans="1:41" ht="60" x14ac:dyDescent="0.25">
      <c r="A47" s="2">
        <v>195018759092</v>
      </c>
      <c r="B47" t="s">
        <v>71</v>
      </c>
      <c r="C47" t="s">
        <v>72</v>
      </c>
      <c r="D47" t="s">
        <v>204</v>
      </c>
      <c r="E47" t="s">
        <v>205</v>
      </c>
      <c r="F47">
        <v>316210</v>
      </c>
      <c r="G47" s="35" t="s">
        <v>75</v>
      </c>
      <c r="H47" s="31" t="s">
        <v>105</v>
      </c>
      <c r="J47" t="s">
        <v>77</v>
      </c>
      <c r="M47">
        <v>140</v>
      </c>
      <c r="P47" t="s">
        <v>78</v>
      </c>
      <c r="Q47" s="55">
        <v>127.27272727272727</v>
      </c>
      <c r="R47" s="32">
        <v>70</v>
      </c>
      <c r="S47" s="33">
        <v>0.33</v>
      </c>
      <c r="T47" s="34">
        <f t="shared" si="1"/>
        <v>104.47761194029852</v>
      </c>
      <c r="U47" s="34">
        <f t="shared" si="2"/>
        <v>105.78358208955224</v>
      </c>
      <c r="V47" t="s">
        <v>79</v>
      </c>
      <c r="W47" s="32">
        <v>15</v>
      </c>
      <c r="X47" s="32" t="s">
        <v>80</v>
      </c>
      <c r="AD47" s="1">
        <v>195018759092</v>
      </c>
      <c r="AN47">
        <v>30</v>
      </c>
      <c r="AO47" t="s">
        <v>81</v>
      </c>
    </row>
    <row r="48" spans="1:41" ht="60" x14ac:dyDescent="0.25">
      <c r="A48" s="2">
        <v>195018758873</v>
      </c>
      <c r="B48" t="s">
        <v>71</v>
      </c>
      <c r="C48" t="s">
        <v>72</v>
      </c>
      <c r="D48" t="s">
        <v>206</v>
      </c>
      <c r="E48" t="s">
        <v>207</v>
      </c>
      <c r="F48">
        <v>316210</v>
      </c>
      <c r="G48" s="35" t="s">
        <v>75</v>
      </c>
      <c r="H48" s="31" t="s">
        <v>108</v>
      </c>
      <c r="J48" t="s">
        <v>77</v>
      </c>
      <c r="M48">
        <v>140</v>
      </c>
      <c r="P48" t="s">
        <v>78</v>
      </c>
      <c r="Q48" s="55">
        <v>127.27272727272727</v>
      </c>
      <c r="R48" s="32">
        <v>70</v>
      </c>
      <c r="S48" s="33">
        <v>0.33</v>
      </c>
      <c r="T48" s="34">
        <f t="shared" si="1"/>
        <v>104.47761194029852</v>
      </c>
      <c r="U48" s="34">
        <f t="shared" si="2"/>
        <v>105.78358208955224</v>
      </c>
      <c r="V48" t="s">
        <v>79</v>
      </c>
      <c r="W48" s="32">
        <v>15</v>
      </c>
      <c r="X48" s="32" t="s">
        <v>80</v>
      </c>
      <c r="AD48" s="1">
        <v>195018758873</v>
      </c>
      <c r="AN48">
        <v>30</v>
      </c>
      <c r="AO48" t="s">
        <v>81</v>
      </c>
    </row>
    <row r="49" spans="1:41" ht="60" x14ac:dyDescent="0.25">
      <c r="A49" s="2">
        <v>195018759108</v>
      </c>
      <c r="B49" t="s">
        <v>71</v>
      </c>
      <c r="C49" t="s">
        <v>72</v>
      </c>
      <c r="D49" t="s">
        <v>208</v>
      </c>
      <c r="E49" t="s">
        <v>209</v>
      </c>
      <c r="F49">
        <v>316210</v>
      </c>
      <c r="G49" s="35" t="s">
        <v>75</v>
      </c>
      <c r="H49" s="31" t="s">
        <v>111</v>
      </c>
      <c r="J49" t="s">
        <v>77</v>
      </c>
      <c r="M49">
        <v>140</v>
      </c>
      <c r="P49" t="s">
        <v>78</v>
      </c>
      <c r="Q49" s="55">
        <v>127.27272727272727</v>
      </c>
      <c r="R49" s="32">
        <v>70</v>
      </c>
      <c r="S49" s="33">
        <v>0.33</v>
      </c>
      <c r="T49" s="34">
        <f t="shared" si="1"/>
        <v>104.47761194029852</v>
      </c>
      <c r="U49" s="34">
        <f t="shared" si="2"/>
        <v>105.78358208955224</v>
      </c>
      <c r="V49" t="s">
        <v>79</v>
      </c>
      <c r="W49" s="32">
        <v>15</v>
      </c>
      <c r="X49" s="32" t="s">
        <v>80</v>
      </c>
      <c r="AD49" s="1">
        <v>195018759108</v>
      </c>
      <c r="AN49">
        <v>30</v>
      </c>
      <c r="AO49" t="s">
        <v>81</v>
      </c>
    </row>
    <row r="50" spans="1:41" ht="60" x14ac:dyDescent="0.25">
      <c r="A50" s="2">
        <v>195018758880</v>
      </c>
      <c r="B50" t="s">
        <v>71</v>
      </c>
      <c r="C50" t="s">
        <v>72</v>
      </c>
      <c r="D50" t="s">
        <v>210</v>
      </c>
      <c r="E50" t="s">
        <v>211</v>
      </c>
      <c r="F50">
        <v>316210</v>
      </c>
      <c r="G50" s="35" t="s">
        <v>75</v>
      </c>
      <c r="H50" s="31" t="s">
        <v>114</v>
      </c>
      <c r="J50" t="s">
        <v>77</v>
      </c>
      <c r="M50">
        <v>140</v>
      </c>
      <c r="P50" t="s">
        <v>78</v>
      </c>
      <c r="Q50" s="55">
        <v>127.27272727272727</v>
      </c>
      <c r="R50" s="32">
        <v>70</v>
      </c>
      <c r="S50" s="33">
        <v>0.33</v>
      </c>
      <c r="T50" s="34">
        <f t="shared" si="1"/>
        <v>104.47761194029852</v>
      </c>
      <c r="U50" s="34">
        <f t="shared" si="2"/>
        <v>105.78358208955224</v>
      </c>
      <c r="V50" t="s">
        <v>79</v>
      </c>
      <c r="W50" s="32">
        <v>15</v>
      </c>
      <c r="X50" s="32" t="s">
        <v>80</v>
      </c>
      <c r="AD50" s="1">
        <v>195018758880</v>
      </c>
      <c r="AN50">
        <v>30</v>
      </c>
      <c r="AO50" t="s">
        <v>81</v>
      </c>
    </row>
    <row r="51" spans="1:41" ht="60" x14ac:dyDescent="0.25">
      <c r="A51" s="2">
        <v>195018759115</v>
      </c>
      <c r="B51" t="s">
        <v>71</v>
      </c>
      <c r="C51" t="s">
        <v>72</v>
      </c>
      <c r="D51" t="s">
        <v>212</v>
      </c>
      <c r="E51" t="s">
        <v>213</v>
      </c>
      <c r="F51">
        <v>316210</v>
      </c>
      <c r="G51" s="35" t="s">
        <v>75</v>
      </c>
      <c r="H51" s="31" t="s">
        <v>117</v>
      </c>
      <c r="J51" t="s">
        <v>77</v>
      </c>
      <c r="M51">
        <v>140</v>
      </c>
      <c r="P51" t="s">
        <v>78</v>
      </c>
      <c r="Q51" s="55">
        <v>127.27272727272727</v>
      </c>
      <c r="R51" s="32">
        <v>70</v>
      </c>
      <c r="S51" s="33">
        <v>0.33</v>
      </c>
      <c r="T51" s="34">
        <f t="shared" si="1"/>
        <v>104.47761194029852</v>
      </c>
      <c r="U51" s="34">
        <f t="shared" si="2"/>
        <v>105.78358208955224</v>
      </c>
      <c r="V51" t="s">
        <v>79</v>
      </c>
      <c r="W51" s="32">
        <v>15</v>
      </c>
      <c r="X51" s="32" t="s">
        <v>80</v>
      </c>
      <c r="AD51" s="1">
        <v>195018759115</v>
      </c>
      <c r="AN51">
        <v>30</v>
      </c>
      <c r="AO51" t="s">
        <v>81</v>
      </c>
    </row>
    <row r="52" spans="1:41" ht="60" x14ac:dyDescent="0.25">
      <c r="A52" s="2">
        <v>195018758897</v>
      </c>
      <c r="B52" t="s">
        <v>71</v>
      </c>
      <c r="C52" t="s">
        <v>72</v>
      </c>
      <c r="D52" t="s">
        <v>214</v>
      </c>
      <c r="E52" t="s">
        <v>215</v>
      </c>
      <c r="F52">
        <v>316210</v>
      </c>
      <c r="G52" s="35" t="s">
        <v>75</v>
      </c>
      <c r="H52" s="31" t="s">
        <v>120</v>
      </c>
      <c r="J52" t="s">
        <v>77</v>
      </c>
      <c r="M52">
        <v>140</v>
      </c>
      <c r="P52" t="s">
        <v>78</v>
      </c>
      <c r="Q52" s="55">
        <v>127.27272727272727</v>
      </c>
      <c r="R52" s="32">
        <v>70</v>
      </c>
      <c r="S52" s="33">
        <v>0.33</v>
      </c>
      <c r="T52" s="34">
        <f t="shared" si="1"/>
        <v>104.47761194029852</v>
      </c>
      <c r="U52" s="34">
        <f t="shared" si="2"/>
        <v>105.78358208955224</v>
      </c>
      <c r="V52" t="s">
        <v>79</v>
      </c>
      <c r="W52" s="32">
        <v>15</v>
      </c>
      <c r="X52" s="32" t="s">
        <v>80</v>
      </c>
      <c r="AD52" s="1">
        <v>195018758897</v>
      </c>
      <c r="AN52">
        <v>30</v>
      </c>
      <c r="AO52" t="s">
        <v>81</v>
      </c>
    </row>
    <row r="53" spans="1:41" ht="60" x14ac:dyDescent="0.25">
      <c r="A53" s="2">
        <v>195018759122</v>
      </c>
      <c r="B53" t="s">
        <v>71</v>
      </c>
      <c r="C53" t="s">
        <v>72</v>
      </c>
      <c r="D53" t="s">
        <v>216</v>
      </c>
      <c r="E53" t="s">
        <v>217</v>
      </c>
      <c r="F53">
        <v>316210</v>
      </c>
      <c r="G53" s="35" t="s">
        <v>75</v>
      </c>
      <c r="H53" s="31" t="s">
        <v>123</v>
      </c>
      <c r="J53" t="s">
        <v>77</v>
      </c>
      <c r="M53">
        <v>140</v>
      </c>
      <c r="P53" t="s">
        <v>78</v>
      </c>
      <c r="Q53" s="55">
        <v>127.27272727272727</v>
      </c>
      <c r="R53" s="32">
        <v>70</v>
      </c>
      <c r="S53" s="33">
        <v>0.33</v>
      </c>
      <c r="T53" s="34">
        <f t="shared" si="1"/>
        <v>104.47761194029852</v>
      </c>
      <c r="U53" s="34">
        <f t="shared" si="2"/>
        <v>105.78358208955224</v>
      </c>
      <c r="V53" t="s">
        <v>79</v>
      </c>
      <c r="W53" s="32">
        <v>15</v>
      </c>
      <c r="X53" s="32" t="s">
        <v>80</v>
      </c>
      <c r="AD53" s="1">
        <v>195018759122</v>
      </c>
      <c r="AN53">
        <v>30</v>
      </c>
      <c r="AO53" t="s">
        <v>81</v>
      </c>
    </row>
    <row r="54" spans="1:41" ht="60" x14ac:dyDescent="0.25">
      <c r="A54" s="2">
        <v>195018758903</v>
      </c>
      <c r="B54" t="s">
        <v>71</v>
      </c>
      <c r="C54" t="s">
        <v>72</v>
      </c>
      <c r="D54" t="s">
        <v>218</v>
      </c>
      <c r="E54" t="s">
        <v>219</v>
      </c>
      <c r="F54">
        <v>316210</v>
      </c>
      <c r="G54" s="35" t="s">
        <v>75</v>
      </c>
      <c r="H54" s="31" t="s">
        <v>126</v>
      </c>
      <c r="J54" t="s">
        <v>77</v>
      </c>
      <c r="M54">
        <v>140</v>
      </c>
      <c r="P54" t="s">
        <v>78</v>
      </c>
      <c r="Q54" s="55">
        <v>127.27272727272727</v>
      </c>
      <c r="R54" s="32">
        <v>70</v>
      </c>
      <c r="S54" s="33">
        <v>0.33</v>
      </c>
      <c r="T54" s="34">
        <f t="shared" si="1"/>
        <v>104.47761194029852</v>
      </c>
      <c r="U54" s="34">
        <f t="shared" si="2"/>
        <v>105.78358208955224</v>
      </c>
      <c r="V54" t="s">
        <v>79</v>
      </c>
      <c r="W54" s="32">
        <v>15</v>
      </c>
      <c r="X54" s="32" t="s">
        <v>80</v>
      </c>
      <c r="AD54" s="1">
        <v>195018758903</v>
      </c>
      <c r="AN54">
        <v>30</v>
      </c>
      <c r="AO54" t="s">
        <v>81</v>
      </c>
    </row>
    <row r="55" spans="1:41" ht="60" x14ac:dyDescent="0.25">
      <c r="A55" s="2">
        <v>195018759139</v>
      </c>
      <c r="B55" t="s">
        <v>71</v>
      </c>
      <c r="C55" t="s">
        <v>72</v>
      </c>
      <c r="D55" t="s">
        <v>220</v>
      </c>
      <c r="E55" t="s">
        <v>221</v>
      </c>
      <c r="F55">
        <v>316210</v>
      </c>
      <c r="G55" s="35" t="s">
        <v>75</v>
      </c>
      <c r="H55" s="31" t="s">
        <v>129</v>
      </c>
      <c r="J55" t="s">
        <v>77</v>
      </c>
      <c r="M55">
        <v>140</v>
      </c>
      <c r="P55" t="s">
        <v>78</v>
      </c>
      <c r="Q55" s="55">
        <v>127.27272727272727</v>
      </c>
      <c r="R55" s="32">
        <v>70</v>
      </c>
      <c r="S55" s="33">
        <v>0.33</v>
      </c>
      <c r="T55" s="34">
        <f t="shared" si="1"/>
        <v>104.47761194029852</v>
      </c>
      <c r="U55" s="34">
        <f t="shared" si="2"/>
        <v>105.78358208955224</v>
      </c>
      <c r="V55" t="s">
        <v>79</v>
      </c>
      <c r="W55" s="32">
        <v>15</v>
      </c>
      <c r="X55" s="32" t="s">
        <v>80</v>
      </c>
      <c r="AD55" s="1">
        <v>195018759139</v>
      </c>
      <c r="AN55">
        <v>30</v>
      </c>
      <c r="AO55" t="s">
        <v>81</v>
      </c>
    </row>
    <row r="56" spans="1:41" ht="60" x14ac:dyDescent="0.25">
      <c r="A56" s="2">
        <v>195018758910</v>
      </c>
      <c r="B56" t="s">
        <v>71</v>
      </c>
      <c r="C56" t="s">
        <v>72</v>
      </c>
      <c r="D56" t="s">
        <v>222</v>
      </c>
      <c r="E56" t="s">
        <v>223</v>
      </c>
      <c r="F56">
        <v>316210</v>
      </c>
      <c r="G56" s="35" t="s">
        <v>75</v>
      </c>
      <c r="H56" s="31" t="s">
        <v>132</v>
      </c>
      <c r="J56" t="s">
        <v>77</v>
      </c>
      <c r="M56">
        <v>140</v>
      </c>
      <c r="P56" t="s">
        <v>78</v>
      </c>
      <c r="Q56" s="55">
        <v>127.27272727272727</v>
      </c>
      <c r="R56" s="32">
        <v>70</v>
      </c>
      <c r="S56" s="33">
        <v>0.33</v>
      </c>
      <c r="T56" s="34">
        <f t="shared" si="1"/>
        <v>104.47761194029852</v>
      </c>
      <c r="U56" s="34">
        <f t="shared" si="2"/>
        <v>105.78358208955224</v>
      </c>
      <c r="V56" t="s">
        <v>79</v>
      </c>
      <c r="W56" s="32">
        <v>15</v>
      </c>
      <c r="X56" s="32" t="s">
        <v>80</v>
      </c>
      <c r="AD56" s="1">
        <v>195018758910</v>
      </c>
      <c r="AN56">
        <v>30</v>
      </c>
      <c r="AO56" t="s">
        <v>81</v>
      </c>
    </row>
    <row r="57" spans="1:41" ht="60" x14ac:dyDescent="0.25">
      <c r="A57" s="2">
        <v>195018759146</v>
      </c>
      <c r="B57" t="s">
        <v>71</v>
      </c>
      <c r="C57" t="s">
        <v>72</v>
      </c>
      <c r="D57" t="s">
        <v>224</v>
      </c>
      <c r="E57" t="s">
        <v>225</v>
      </c>
      <c r="F57">
        <v>316210</v>
      </c>
      <c r="G57" s="35" t="s">
        <v>75</v>
      </c>
      <c r="H57" s="31" t="s">
        <v>135</v>
      </c>
      <c r="J57" t="s">
        <v>77</v>
      </c>
      <c r="M57">
        <v>140</v>
      </c>
      <c r="P57" t="s">
        <v>78</v>
      </c>
      <c r="Q57" s="55">
        <v>127.27272727272727</v>
      </c>
      <c r="R57" s="32">
        <v>70</v>
      </c>
      <c r="S57" s="33">
        <v>0.33</v>
      </c>
      <c r="T57" s="34">
        <f t="shared" si="1"/>
        <v>104.47761194029852</v>
      </c>
      <c r="U57" s="34">
        <f t="shared" si="2"/>
        <v>105.78358208955224</v>
      </c>
      <c r="V57" t="s">
        <v>79</v>
      </c>
      <c r="W57" s="32">
        <v>15</v>
      </c>
      <c r="X57" s="32" t="s">
        <v>80</v>
      </c>
      <c r="AD57" s="1">
        <v>195018759146</v>
      </c>
      <c r="AN57">
        <v>30</v>
      </c>
      <c r="AO57" t="s">
        <v>81</v>
      </c>
    </row>
    <row r="58" spans="1:41" ht="60" x14ac:dyDescent="0.25">
      <c r="A58" s="2">
        <v>195018758927</v>
      </c>
      <c r="B58" t="s">
        <v>71</v>
      </c>
      <c r="C58" t="s">
        <v>72</v>
      </c>
      <c r="D58" t="s">
        <v>226</v>
      </c>
      <c r="E58" t="s">
        <v>227</v>
      </c>
      <c r="F58">
        <v>316210</v>
      </c>
      <c r="G58" s="35" t="s">
        <v>75</v>
      </c>
      <c r="H58" s="31" t="s">
        <v>138</v>
      </c>
      <c r="J58" t="s">
        <v>77</v>
      </c>
      <c r="M58">
        <v>140</v>
      </c>
      <c r="P58" t="s">
        <v>78</v>
      </c>
      <c r="Q58" s="55">
        <v>127.27272727272727</v>
      </c>
      <c r="R58" s="32">
        <v>70</v>
      </c>
      <c r="S58" s="33">
        <v>0.33</v>
      </c>
      <c r="T58" s="34">
        <f t="shared" si="1"/>
        <v>104.47761194029852</v>
      </c>
      <c r="U58" s="34">
        <f t="shared" si="2"/>
        <v>105.78358208955224</v>
      </c>
      <c r="V58" t="s">
        <v>79</v>
      </c>
      <c r="W58" s="32">
        <v>15</v>
      </c>
      <c r="X58" s="32" t="s">
        <v>80</v>
      </c>
      <c r="AD58" s="1">
        <v>195018758927</v>
      </c>
      <c r="AN58">
        <v>30</v>
      </c>
      <c r="AO58" t="s">
        <v>81</v>
      </c>
    </row>
    <row r="59" spans="1:41" ht="60" x14ac:dyDescent="0.25">
      <c r="A59" s="2">
        <v>195018759153</v>
      </c>
      <c r="B59" t="s">
        <v>71</v>
      </c>
      <c r="C59" t="s">
        <v>72</v>
      </c>
      <c r="D59" t="s">
        <v>228</v>
      </c>
      <c r="E59" t="s">
        <v>229</v>
      </c>
      <c r="F59">
        <v>316210</v>
      </c>
      <c r="G59" s="35" t="s">
        <v>75</v>
      </c>
      <c r="H59" s="31" t="s">
        <v>141</v>
      </c>
      <c r="J59" t="s">
        <v>77</v>
      </c>
      <c r="M59">
        <v>140</v>
      </c>
      <c r="P59" t="s">
        <v>78</v>
      </c>
      <c r="Q59" s="55">
        <v>127.27272727272727</v>
      </c>
      <c r="R59" s="32">
        <v>70</v>
      </c>
      <c r="S59" s="33">
        <v>0.33</v>
      </c>
      <c r="T59" s="34">
        <f t="shared" si="1"/>
        <v>104.47761194029852</v>
      </c>
      <c r="U59" s="34">
        <f t="shared" si="2"/>
        <v>105.78358208955224</v>
      </c>
      <c r="V59" t="s">
        <v>79</v>
      </c>
      <c r="W59" s="32">
        <v>15</v>
      </c>
      <c r="X59" s="32" t="s">
        <v>80</v>
      </c>
      <c r="AD59" s="1">
        <v>195018759153</v>
      </c>
      <c r="AN59">
        <v>30</v>
      </c>
      <c r="AO59" t="s">
        <v>81</v>
      </c>
    </row>
    <row r="60" spans="1:41" ht="60" x14ac:dyDescent="0.25">
      <c r="A60" s="2">
        <v>195018758934</v>
      </c>
      <c r="B60" t="s">
        <v>71</v>
      </c>
      <c r="C60" t="s">
        <v>72</v>
      </c>
      <c r="D60" t="s">
        <v>230</v>
      </c>
      <c r="E60" t="s">
        <v>231</v>
      </c>
      <c r="F60">
        <v>316210</v>
      </c>
      <c r="G60" s="35" t="s">
        <v>75</v>
      </c>
      <c r="H60" s="31" t="s">
        <v>144</v>
      </c>
      <c r="J60" t="s">
        <v>77</v>
      </c>
      <c r="M60">
        <v>140</v>
      </c>
      <c r="P60" t="s">
        <v>78</v>
      </c>
      <c r="Q60" s="55">
        <v>127.27272727272727</v>
      </c>
      <c r="R60" s="32">
        <v>70</v>
      </c>
      <c r="S60" s="33">
        <v>0.33</v>
      </c>
      <c r="T60" s="34">
        <f t="shared" si="1"/>
        <v>104.47761194029852</v>
      </c>
      <c r="U60" s="34">
        <f t="shared" si="2"/>
        <v>105.78358208955224</v>
      </c>
      <c r="V60" t="s">
        <v>79</v>
      </c>
      <c r="W60" s="32">
        <v>15</v>
      </c>
      <c r="X60" s="32" t="s">
        <v>80</v>
      </c>
      <c r="AD60" s="1">
        <v>195018758934</v>
      </c>
      <c r="AN60">
        <v>30</v>
      </c>
      <c r="AO60" t="s">
        <v>81</v>
      </c>
    </row>
    <row r="61" spans="1:41" ht="60" x14ac:dyDescent="0.25">
      <c r="A61" s="2">
        <v>195018759160</v>
      </c>
      <c r="B61" t="s">
        <v>71</v>
      </c>
      <c r="C61" t="s">
        <v>72</v>
      </c>
      <c r="D61" t="s">
        <v>232</v>
      </c>
      <c r="E61" t="s">
        <v>233</v>
      </c>
      <c r="F61">
        <v>316210</v>
      </c>
      <c r="G61" s="35" t="s">
        <v>75</v>
      </c>
      <c r="H61" s="31" t="s">
        <v>147</v>
      </c>
      <c r="J61" t="s">
        <v>77</v>
      </c>
      <c r="M61">
        <v>140</v>
      </c>
      <c r="P61" t="s">
        <v>78</v>
      </c>
      <c r="Q61" s="55">
        <v>127.27272727272727</v>
      </c>
      <c r="R61" s="32">
        <v>70</v>
      </c>
      <c r="S61" s="33">
        <v>0.33</v>
      </c>
      <c r="T61" s="34">
        <f t="shared" si="1"/>
        <v>104.47761194029852</v>
      </c>
      <c r="U61" s="34">
        <f t="shared" si="2"/>
        <v>105.78358208955224</v>
      </c>
      <c r="V61" t="s">
        <v>79</v>
      </c>
      <c r="W61" s="32">
        <v>15</v>
      </c>
      <c r="X61" s="32" t="s">
        <v>80</v>
      </c>
      <c r="AD61" s="1">
        <v>195018759160</v>
      </c>
      <c r="AN61">
        <v>30</v>
      </c>
      <c r="AO61" t="s">
        <v>81</v>
      </c>
    </row>
    <row r="62" spans="1:41" ht="60" x14ac:dyDescent="0.25">
      <c r="A62" s="2">
        <v>195018758941</v>
      </c>
      <c r="B62" t="s">
        <v>71</v>
      </c>
      <c r="C62" t="s">
        <v>72</v>
      </c>
      <c r="D62" t="s">
        <v>234</v>
      </c>
      <c r="E62" t="s">
        <v>235</v>
      </c>
      <c r="F62">
        <v>316210</v>
      </c>
      <c r="G62" s="35" t="s">
        <v>75</v>
      </c>
      <c r="H62" s="31" t="s">
        <v>150</v>
      </c>
      <c r="J62" t="s">
        <v>77</v>
      </c>
      <c r="M62">
        <v>140</v>
      </c>
      <c r="P62" t="s">
        <v>78</v>
      </c>
      <c r="Q62" s="55">
        <v>127.27272727272727</v>
      </c>
      <c r="R62" s="32">
        <v>70</v>
      </c>
      <c r="S62" s="33">
        <v>0.33</v>
      </c>
      <c r="T62" s="34">
        <f t="shared" si="1"/>
        <v>104.47761194029852</v>
      </c>
      <c r="U62" s="34">
        <f t="shared" si="2"/>
        <v>105.78358208955224</v>
      </c>
      <c r="V62" t="s">
        <v>79</v>
      </c>
      <c r="W62" s="32">
        <v>15</v>
      </c>
      <c r="X62" s="32" t="s">
        <v>80</v>
      </c>
      <c r="AD62" s="1">
        <v>195018758941</v>
      </c>
      <c r="AN62">
        <v>30</v>
      </c>
      <c r="AO62" t="s">
        <v>81</v>
      </c>
    </row>
    <row r="63" spans="1:41" ht="60" x14ac:dyDescent="0.25">
      <c r="A63" s="2">
        <v>195018759177</v>
      </c>
      <c r="B63" t="s">
        <v>71</v>
      </c>
      <c r="C63" t="s">
        <v>72</v>
      </c>
      <c r="D63" t="s">
        <v>236</v>
      </c>
      <c r="E63" t="s">
        <v>237</v>
      </c>
      <c r="F63">
        <v>316210</v>
      </c>
      <c r="G63" s="35" t="s">
        <v>75</v>
      </c>
      <c r="H63" s="31" t="s">
        <v>153</v>
      </c>
      <c r="J63" t="s">
        <v>77</v>
      </c>
      <c r="M63">
        <v>140</v>
      </c>
      <c r="P63" t="s">
        <v>78</v>
      </c>
      <c r="Q63" s="55">
        <v>127.27272727272727</v>
      </c>
      <c r="R63" s="32">
        <v>70</v>
      </c>
      <c r="S63" s="33">
        <v>0.33</v>
      </c>
      <c r="T63" s="34">
        <f t="shared" si="1"/>
        <v>104.47761194029852</v>
      </c>
      <c r="U63" s="34">
        <f t="shared" si="2"/>
        <v>105.78358208955224</v>
      </c>
      <c r="V63" t="s">
        <v>79</v>
      </c>
      <c r="W63" s="32">
        <v>15</v>
      </c>
      <c r="X63" s="32" t="s">
        <v>80</v>
      </c>
      <c r="AD63" s="1">
        <v>195018759177</v>
      </c>
      <c r="AN63">
        <v>30</v>
      </c>
      <c r="AO63" t="s">
        <v>81</v>
      </c>
    </row>
    <row r="64" spans="1:41" ht="60" x14ac:dyDescent="0.25">
      <c r="A64" s="2">
        <v>195018758958</v>
      </c>
      <c r="B64" t="s">
        <v>71</v>
      </c>
      <c r="C64" t="s">
        <v>72</v>
      </c>
      <c r="D64" t="s">
        <v>238</v>
      </c>
      <c r="E64" t="s">
        <v>239</v>
      </c>
      <c r="F64">
        <v>316210</v>
      </c>
      <c r="G64" s="35" t="s">
        <v>75</v>
      </c>
      <c r="H64" s="31" t="s">
        <v>156</v>
      </c>
      <c r="J64" t="s">
        <v>77</v>
      </c>
      <c r="M64">
        <v>140</v>
      </c>
      <c r="P64" t="s">
        <v>78</v>
      </c>
      <c r="Q64" s="55">
        <v>127.27272727272727</v>
      </c>
      <c r="R64" s="32">
        <v>70</v>
      </c>
      <c r="S64" s="33">
        <v>0.33</v>
      </c>
      <c r="T64" s="34">
        <f t="shared" si="1"/>
        <v>104.47761194029852</v>
      </c>
      <c r="U64" s="34">
        <f t="shared" si="2"/>
        <v>105.78358208955224</v>
      </c>
      <c r="V64" t="s">
        <v>79</v>
      </c>
      <c r="W64" s="32">
        <v>15</v>
      </c>
      <c r="X64" s="32" t="s">
        <v>80</v>
      </c>
      <c r="AD64" s="1">
        <v>195018758958</v>
      </c>
      <c r="AN64">
        <v>30</v>
      </c>
      <c r="AO64" t="s">
        <v>81</v>
      </c>
    </row>
    <row r="65" spans="1:41" ht="60" x14ac:dyDescent="0.25">
      <c r="A65" s="2">
        <v>195018759184</v>
      </c>
      <c r="B65" t="s">
        <v>71</v>
      </c>
      <c r="C65" t="s">
        <v>72</v>
      </c>
      <c r="D65" t="s">
        <v>240</v>
      </c>
      <c r="E65" t="s">
        <v>241</v>
      </c>
      <c r="F65">
        <v>316210</v>
      </c>
      <c r="G65" s="35" t="s">
        <v>75</v>
      </c>
      <c r="H65" s="31" t="s">
        <v>159</v>
      </c>
      <c r="J65" t="s">
        <v>77</v>
      </c>
      <c r="M65">
        <v>140</v>
      </c>
      <c r="P65" t="s">
        <v>78</v>
      </c>
      <c r="Q65" s="55">
        <v>127.27272727272727</v>
      </c>
      <c r="R65" s="32">
        <v>70</v>
      </c>
      <c r="S65" s="33">
        <v>0.33</v>
      </c>
      <c r="T65" s="34">
        <f t="shared" si="1"/>
        <v>104.47761194029852</v>
      </c>
      <c r="U65" s="34">
        <f t="shared" si="2"/>
        <v>105.78358208955224</v>
      </c>
      <c r="V65" t="s">
        <v>79</v>
      </c>
      <c r="W65" s="32">
        <v>15</v>
      </c>
      <c r="X65" s="32" t="s">
        <v>80</v>
      </c>
      <c r="AD65" s="1">
        <v>195018759184</v>
      </c>
      <c r="AN65">
        <v>30</v>
      </c>
      <c r="AO65" t="s">
        <v>81</v>
      </c>
    </row>
    <row r="66" spans="1:41" ht="60" x14ac:dyDescent="0.25">
      <c r="A66" s="2">
        <v>195018758965</v>
      </c>
      <c r="B66" t="s">
        <v>71</v>
      </c>
      <c r="C66" t="s">
        <v>72</v>
      </c>
      <c r="D66" t="s">
        <v>242</v>
      </c>
      <c r="E66" t="s">
        <v>243</v>
      </c>
      <c r="F66">
        <v>316210</v>
      </c>
      <c r="G66" s="35" t="s">
        <v>75</v>
      </c>
      <c r="H66" s="31" t="s">
        <v>162</v>
      </c>
      <c r="J66" t="s">
        <v>77</v>
      </c>
      <c r="M66">
        <v>140</v>
      </c>
      <c r="P66" t="s">
        <v>78</v>
      </c>
      <c r="Q66" s="55">
        <v>127.27272727272727</v>
      </c>
      <c r="R66" s="32">
        <v>70</v>
      </c>
      <c r="S66" s="33">
        <v>0.33</v>
      </c>
      <c r="T66" s="34">
        <f t="shared" si="1"/>
        <v>104.47761194029852</v>
      </c>
      <c r="U66" s="34">
        <f t="shared" si="2"/>
        <v>105.78358208955224</v>
      </c>
      <c r="V66" t="s">
        <v>79</v>
      </c>
      <c r="W66" s="32">
        <v>15</v>
      </c>
      <c r="X66" s="32" t="s">
        <v>80</v>
      </c>
      <c r="AD66" s="1">
        <v>195018758965</v>
      </c>
      <c r="AN66">
        <v>30</v>
      </c>
      <c r="AO66" t="s">
        <v>81</v>
      </c>
    </row>
    <row r="67" spans="1:41" ht="60" x14ac:dyDescent="0.25">
      <c r="A67" s="2">
        <v>195018759191</v>
      </c>
      <c r="B67" t="s">
        <v>71</v>
      </c>
      <c r="C67" t="s">
        <v>72</v>
      </c>
      <c r="D67" t="s">
        <v>244</v>
      </c>
      <c r="E67" t="s">
        <v>245</v>
      </c>
      <c r="F67">
        <v>316210</v>
      </c>
      <c r="G67" s="35" t="s">
        <v>75</v>
      </c>
      <c r="H67" s="31" t="s">
        <v>165</v>
      </c>
      <c r="J67" t="s">
        <v>77</v>
      </c>
      <c r="M67">
        <v>140</v>
      </c>
      <c r="P67" t="s">
        <v>78</v>
      </c>
      <c r="Q67" s="55">
        <v>127.27272727272727</v>
      </c>
      <c r="R67" s="32">
        <v>70</v>
      </c>
      <c r="S67" s="33">
        <v>0.33</v>
      </c>
      <c r="T67" s="34">
        <f t="shared" si="1"/>
        <v>104.47761194029852</v>
      </c>
      <c r="U67" s="34">
        <f t="shared" si="2"/>
        <v>105.78358208955224</v>
      </c>
      <c r="V67" t="s">
        <v>79</v>
      </c>
      <c r="W67" s="32">
        <v>15</v>
      </c>
      <c r="X67" s="32" t="s">
        <v>80</v>
      </c>
      <c r="AD67" s="1">
        <v>195018759191</v>
      </c>
      <c r="AN67">
        <v>30</v>
      </c>
      <c r="AO67" t="s">
        <v>81</v>
      </c>
    </row>
    <row r="68" spans="1:41" ht="60" x14ac:dyDescent="0.25">
      <c r="A68" s="2">
        <v>195018758972</v>
      </c>
      <c r="B68" t="s">
        <v>71</v>
      </c>
      <c r="C68" t="s">
        <v>72</v>
      </c>
      <c r="D68" t="s">
        <v>246</v>
      </c>
      <c r="E68" t="s">
        <v>247</v>
      </c>
      <c r="F68">
        <v>316210</v>
      </c>
      <c r="G68" s="35" t="s">
        <v>75</v>
      </c>
      <c r="H68" s="31" t="s">
        <v>168</v>
      </c>
      <c r="J68" t="s">
        <v>77</v>
      </c>
      <c r="M68">
        <v>140</v>
      </c>
      <c r="P68" t="s">
        <v>78</v>
      </c>
      <c r="Q68" s="55">
        <v>127.27272727272727</v>
      </c>
      <c r="R68" s="32">
        <v>70</v>
      </c>
      <c r="S68" s="33">
        <v>0.33</v>
      </c>
      <c r="T68" s="34">
        <f t="shared" ref="T68:T131" si="3">R68/(1-S68)</f>
        <v>104.47761194029852</v>
      </c>
      <c r="U68" s="34">
        <f t="shared" ref="U68:U131" si="4">T68*(1+1.25%)</f>
        <v>105.78358208955224</v>
      </c>
      <c r="V68" t="s">
        <v>79</v>
      </c>
      <c r="W68" s="32">
        <v>15</v>
      </c>
      <c r="X68" s="32" t="s">
        <v>80</v>
      </c>
      <c r="AD68" s="1">
        <v>195018758972</v>
      </c>
      <c r="AN68">
        <v>30</v>
      </c>
      <c r="AO68" t="s">
        <v>81</v>
      </c>
    </row>
    <row r="69" spans="1:41" ht="60" x14ac:dyDescent="0.25">
      <c r="A69" s="2">
        <v>195018759207</v>
      </c>
      <c r="B69" t="s">
        <v>71</v>
      </c>
      <c r="C69" t="s">
        <v>72</v>
      </c>
      <c r="D69" t="s">
        <v>248</v>
      </c>
      <c r="E69" t="s">
        <v>249</v>
      </c>
      <c r="F69">
        <v>316210</v>
      </c>
      <c r="G69" s="35" t="s">
        <v>75</v>
      </c>
      <c r="H69" s="31" t="s">
        <v>171</v>
      </c>
      <c r="J69" t="s">
        <v>77</v>
      </c>
      <c r="M69">
        <v>140</v>
      </c>
      <c r="P69" t="s">
        <v>78</v>
      </c>
      <c r="Q69" s="55">
        <v>127.27272727272727</v>
      </c>
      <c r="R69" s="32">
        <v>70</v>
      </c>
      <c r="S69" s="33">
        <v>0.33</v>
      </c>
      <c r="T69" s="34">
        <f t="shared" si="3"/>
        <v>104.47761194029852</v>
      </c>
      <c r="U69" s="34">
        <f t="shared" si="4"/>
        <v>105.78358208955224</v>
      </c>
      <c r="V69" t="s">
        <v>79</v>
      </c>
      <c r="W69" s="32">
        <v>15</v>
      </c>
      <c r="X69" s="32" t="s">
        <v>80</v>
      </c>
      <c r="AD69" s="1">
        <v>195018759207</v>
      </c>
      <c r="AN69">
        <v>30</v>
      </c>
      <c r="AO69" t="s">
        <v>81</v>
      </c>
    </row>
    <row r="70" spans="1:41" ht="60" x14ac:dyDescent="0.25">
      <c r="A70" s="2">
        <v>195018758989</v>
      </c>
      <c r="B70" t="s">
        <v>71</v>
      </c>
      <c r="C70" t="s">
        <v>72</v>
      </c>
      <c r="D70" t="s">
        <v>250</v>
      </c>
      <c r="E70" t="s">
        <v>251</v>
      </c>
      <c r="F70">
        <v>316210</v>
      </c>
      <c r="G70" s="35" t="s">
        <v>75</v>
      </c>
      <c r="H70" s="31" t="s">
        <v>174</v>
      </c>
      <c r="J70" t="s">
        <v>77</v>
      </c>
      <c r="M70">
        <v>140</v>
      </c>
      <c r="P70" t="s">
        <v>78</v>
      </c>
      <c r="Q70" s="55">
        <v>127.27272727272727</v>
      </c>
      <c r="R70" s="32">
        <v>70</v>
      </c>
      <c r="S70" s="33">
        <v>0.33</v>
      </c>
      <c r="T70" s="34">
        <f t="shared" si="3"/>
        <v>104.47761194029852</v>
      </c>
      <c r="U70" s="34">
        <f t="shared" si="4"/>
        <v>105.78358208955224</v>
      </c>
      <c r="V70" t="s">
        <v>79</v>
      </c>
      <c r="W70" s="32">
        <v>15</v>
      </c>
      <c r="X70" s="32" t="s">
        <v>80</v>
      </c>
      <c r="AD70" s="1">
        <v>195018758989</v>
      </c>
      <c r="AN70">
        <v>30</v>
      </c>
      <c r="AO70" t="s">
        <v>81</v>
      </c>
    </row>
    <row r="71" spans="1:41" ht="60" x14ac:dyDescent="0.25">
      <c r="A71" s="2">
        <v>195018759214</v>
      </c>
      <c r="B71" t="s">
        <v>71</v>
      </c>
      <c r="C71" t="s">
        <v>72</v>
      </c>
      <c r="D71" t="s">
        <v>252</v>
      </c>
      <c r="E71" t="s">
        <v>253</v>
      </c>
      <c r="F71">
        <v>316210</v>
      </c>
      <c r="G71" s="35" t="s">
        <v>75</v>
      </c>
      <c r="H71" s="31" t="s">
        <v>177</v>
      </c>
      <c r="J71" t="s">
        <v>77</v>
      </c>
      <c r="M71">
        <v>140</v>
      </c>
      <c r="P71" t="s">
        <v>78</v>
      </c>
      <c r="Q71" s="55">
        <v>127.27272727272727</v>
      </c>
      <c r="R71" s="32">
        <v>70</v>
      </c>
      <c r="S71" s="33">
        <v>0.33</v>
      </c>
      <c r="T71" s="34">
        <f t="shared" si="3"/>
        <v>104.47761194029852</v>
      </c>
      <c r="U71" s="34">
        <f t="shared" si="4"/>
        <v>105.78358208955224</v>
      </c>
      <c r="V71" t="s">
        <v>79</v>
      </c>
      <c r="W71" s="32">
        <v>15</v>
      </c>
      <c r="X71" s="32" t="s">
        <v>80</v>
      </c>
      <c r="AD71" s="1">
        <v>195018759214</v>
      </c>
      <c r="AN71">
        <v>30</v>
      </c>
      <c r="AO71" t="s">
        <v>81</v>
      </c>
    </row>
    <row r="72" spans="1:41" ht="60" x14ac:dyDescent="0.25">
      <c r="A72" s="2">
        <v>195018758996</v>
      </c>
      <c r="B72" t="s">
        <v>71</v>
      </c>
      <c r="C72" t="s">
        <v>72</v>
      </c>
      <c r="D72" t="s">
        <v>254</v>
      </c>
      <c r="E72" t="s">
        <v>255</v>
      </c>
      <c r="F72">
        <v>316210</v>
      </c>
      <c r="G72" s="35" t="s">
        <v>75</v>
      </c>
      <c r="H72" s="31" t="s">
        <v>180</v>
      </c>
      <c r="J72" t="s">
        <v>77</v>
      </c>
      <c r="M72">
        <v>140</v>
      </c>
      <c r="P72" t="s">
        <v>78</v>
      </c>
      <c r="Q72" s="55">
        <v>127.27272727272727</v>
      </c>
      <c r="R72" s="32">
        <v>70</v>
      </c>
      <c r="S72" s="33">
        <v>0.33</v>
      </c>
      <c r="T72" s="34">
        <f t="shared" si="3"/>
        <v>104.47761194029852</v>
      </c>
      <c r="U72" s="34">
        <f t="shared" si="4"/>
        <v>105.78358208955224</v>
      </c>
      <c r="V72" t="s">
        <v>79</v>
      </c>
      <c r="W72" s="32">
        <v>15</v>
      </c>
      <c r="X72" s="32" t="s">
        <v>80</v>
      </c>
      <c r="AD72" s="1">
        <v>195018758996</v>
      </c>
      <c r="AN72">
        <v>30</v>
      </c>
      <c r="AO72" t="s">
        <v>81</v>
      </c>
    </row>
    <row r="73" spans="1:41" ht="60" x14ac:dyDescent="0.25">
      <c r="A73" s="2">
        <v>195018759221</v>
      </c>
      <c r="B73" t="s">
        <v>71</v>
      </c>
      <c r="C73" t="s">
        <v>72</v>
      </c>
      <c r="D73" t="s">
        <v>256</v>
      </c>
      <c r="E73" t="s">
        <v>257</v>
      </c>
      <c r="F73">
        <v>316210</v>
      </c>
      <c r="G73" s="35" t="s">
        <v>75</v>
      </c>
      <c r="H73" s="31" t="s">
        <v>183</v>
      </c>
      <c r="J73" t="s">
        <v>77</v>
      </c>
      <c r="M73">
        <v>140</v>
      </c>
      <c r="P73" t="s">
        <v>78</v>
      </c>
      <c r="Q73" s="55">
        <v>127.27272727272727</v>
      </c>
      <c r="R73" s="32">
        <v>70</v>
      </c>
      <c r="S73" s="33">
        <v>0.33</v>
      </c>
      <c r="T73" s="34">
        <f t="shared" si="3"/>
        <v>104.47761194029852</v>
      </c>
      <c r="U73" s="34">
        <f t="shared" si="4"/>
        <v>105.78358208955224</v>
      </c>
      <c r="V73" t="s">
        <v>79</v>
      </c>
      <c r="W73" s="32">
        <v>15</v>
      </c>
      <c r="X73" s="32" t="s">
        <v>80</v>
      </c>
      <c r="AD73" s="1">
        <v>195018759221</v>
      </c>
      <c r="AN73">
        <v>30</v>
      </c>
      <c r="AO73" t="s">
        <v>81</v>
      </c>
    </row>
    <row r="74" spans="1:41" ht="60" x14ac:dyDescent="0.25">
      <c r="A74" s="2">
        <v>195018759009</v>
      </c>
      <c r="B74" t="s">
        <v>71</v>
      </c>
      <c r="C74" t="s">
        <v>72</v>
      </c>
      <c r="D74" t="s">
        <v>258</v>
      </c>
      <c r="E74" t="s">
        <v>259</v>
      </c>
      <c r="F74">
        <v>316210</v>
      </c>
      <c r="G74" s="35" t="s">
        <v>75</v>
      </c>
      <c r="H74" s="31" t="s">
        <v>186</v>
      </c>
      <c r="J74" t="s">
        <v>77</v>
      </c>
      <c r="M74">
        <v>140</v>
      </c>
      <c r="P74" t="s">
        <v>78</v>
      </c>
      <c r="Q74" s="55">
        <v>127.27272727272727</v>
      </c>
      <c r="R74" s="32">
        <v>70</v>
      </c>
      <c r="S74" s="33">
        <v>0.33</v>
      </c>
      <c r="T74" s="34">
        <f t="shared" si="3"/>
        <v>104.47761194029852</v>
      </c>
      <c r="U74" s="34">
        <f t="shared" si="4"/>
        <v>105.78358208955224</v>
      </c>
      <c r="V74" t="s">
        <v>79</v>
      </c>
      <c r="W74" s="32">
        <v>15</v>
      </c>
      <c r="X74" s="32" t="s">
        <v>80</v>
      </c>
      <c r="AD74" s="1">
        <v>195018759009</v>
      </c>
      <c r="AN74">
        <v>30</v>
      </c>
      <c r="AO74" t="s">
        <v>81</v>
      </c>
    </row>
    <row r="75" spans="1:41" s="35" customFormat="1" ht="45" x14ac:dyDescent="0.25">
      <c r="A75" s="36">
        <v>195018675774</v>
      </c>
      <c r="B75" s="35" t="s">
        <v>71</v>
      </c>
      <c r="C75" s="35" t="s">
        <v>72</v>
      </c>
      <c r="D75" s="35" t="s">
        <v>260</v>
      </c>
      <c r="E75" s="35" t="s">
        <v>261</v>
      </c>
      <c r="F75" s="35">
        <v>316210</v>
      </c>
      <c r="G75" s="35" t="s">
        <v>262</v>
      </c>
      <c r="H75" s="39" t="s">
        <v>263</v>
      </c>
      <c r="J75" s="35" t="s">
        <v>77</v>
      </c>
      <c r="M75" s="35">
        <v>140</v>
      </c>
      <c r="P75" s="35" t="s">
        <v>78</v>
      </c>
      <c r="Q75" s="56">
        <v>127.27272727272727</v>
      </c>
      <c r="R75" s="35">
        <v>70</v>
      </c>
      <c r="S75" s="33">
        <v>0.33</v>
      </c>
      <c r="T75" s="37">
        <f t="shared" si="3"/>
        <v>104.47761194029852</v>
      </c>
      <c r="U75" s="37">
        <f t="shared" si="4"/>
        <v>105.78358208955224</v>
      </c>
      <c r="V75" s="35" t="s">
        <v>79</v>
      </c>
      <c r="W75" s="35">
        <v>15</v>
      </c>
      <c r="X75" s="35" t="s">
        <v>80</v>
      </c>
      <c r="AD75" s="36">
        <v>195018675774</v>
      </c>
      <c r="AN75" s="35">
        <v>30</v>
      </c>
      <c r="AO75" s="35" t="s">
        <v>81</v>
      </c>
    </row>
    <row r="76" spans="1:41" s="35" customFormat="1" ht="45" x14ac:dyDescent="0.25">
      <c r="A76" s="36">
        <v>195018675781</v>
      </c>
      <c r="B76" s="35" t="s">
        <v>71</v>
      </c>
      <c r="C76" s="35" t="s">
        <v>72</v>
      </c>
      <c r="D76" s="35" t="s">
        <v>264</v>
      </c>
      <c r="E76" s="35" t="s">
        <v>265</v>
      </c>
      <c r="F76" s="35">
        <v>316210</v>
      </c>
      <c r="G76" s="35" t="s">
        <v>262</v>
      </c>
      <c r="H76" s="39" t="s">
        <v>266</v>
      </c>
      <c r="J76" s="35" t="s">
        <v>77</v>
      </c>
      <c r="M76" s="35">
        <v>140</v>
      </c>
      <c r="P76" s="35" t="s">
        <v>78</v>
      </c>
      <c r="Q76" s="56">
        <v>127.27272727272727</v>
      </c>
      <c r="R76" s="35">
        <v>70</v>
      </c>
      <c r="S76" s="33">
        <v>0.33</v>
      </c>
      <c r="T76" s="37">
        <f t="shared" si="3"/>
        <v>104.47761194029852</v>
      </c>
      <c r="U76" s="37">
        <f t="shared" si="4"/>
        <v>105.78358208955224</v>
      </c>
      <c r="V76" s="35" t="s">
        <v>79</v>
      </c>
      <c r="W76" s="35">
        <v>15</v>
      </c>
      <c r="X76" s="35" t="s">
        <v>80</v>
      </c>
      <c r="AD76" s="36">
        <v>195018675781</v>
      </c>
      <c r="AN76" s="35">
        <v>30</v>
      </c>
      <c r="AO76" s="35" t="s">
        <v>81</v>
      </c>
    </row>
    <row r="77" spans="1:41" s="35" customFormat="1" ht="45" x14ac:dyDescent="0.25">
      <c r="A77" s="36">
        <v>195018675798</v>
      </c>
      <c r="B77" s="35" t="s">
        <v>71</v>
      </c>
      <c r="C77" s="35" t="s">
        <v>72</v>
      </c>
      <c r="D77" s="35" t="s">
        <v>267</v>
      </c>
      <c r="E77" s="35" t="s">
        <v>268</v>
      </c>
      <c r="F77" s="35">
        <v>316210</v>
      </c>
      <c r="G77" s="35" t="s">
        <v>262</v>
      </c>
      <c r="H77" s="39" t="s">
        <v>269</v>
      </c>
      <c r="J77" s="35" t="s">
        <v>77</v>
      </c>
      <c r="M77" s="35">
        <v>140</v>
      </c>
      <c r="P77" s="35" t="s">
        <v>78</v>
      </c>
      <c r="Q77" s="56">
        <v>127.27272727272727</v>
      </c>
      <c r="R77" s="35">
        <v>70</v>
      </c>
      <c r="S77" s="33">
        <v>0.33</v>
      </c>
      <c r="T77" s="37">
        <f t="shared" si="3"/>
        <v>104.47761194029852</v>
      </c>
      <c r="U77" s="37">
        <f t="shared" si="4"/>
        <v>105.78358208955224</v>
      </c>
      <c r="V77" s="35" t="s">
        <v>79</v>
      </c>
      <c r="W77" s="35">
        <v>15</v>
      </c>
      <c r="X77" s="35" t="s">
        <v>80</v>
      </c>
      <c r="AD77" s="36">
        <v>195018675798</v>
      </c>
      <c r="AN77" s="35">
        <v>30</v>
      </c>
      <c r="AO77" s="35" t="s">
        <v>81</v>
      </c>
    </row>
    <row r="78" spans="1:41" s="35" customFormat="1" ht="45" x14ac:dyDescent="0.25">
      <c r="A78" s="36">
        <v>195018675804</v>
      </c>
      <c r="B78" s="35" t="s">
        <v>71</v>
      </c>
      <c r="C78" s="35" t="s">
        <v>72</v>
      </c>
      <c r="D78" s="35" t="s">
        <v>270</v>
      </c>
      <c r="E78" s="35" t="s">
        <v>271</v>
      </c>
      <c r="F78" s="35">
        <v>316210</v>
      </c>
      <c r="G78" s="35" t="s">
        <v>262</v>
      </c>
      <c r="H78" s="39" t="s">
        <v>272</v>
      </c>
      <c r="J78" s="35" t="s">
        <v>77</v>
      </c>
      <c r="M78" s="35">
        <v>140</v>
      </c>
      <c r="P78" s="35" t="s">
        <v>78</v>
      </c>
      <c r="Q78" s="56">
        <v>127.27272727272727</v>
      </c>
      <c r="R78" s="35">
        <v>70</v>
      </c>
      <c r="S78" s="33">
        <v>0.33</v>
      </c>
      <c r="T78" s="37">
        <f t="shared" si="3"/>
        <v>104.47761194029852</v>
      </c>
      <c r="U78" s="37">
        <f t="shared" si="4"/>
        <v>105.78358208955224</v>
      </c>
      <c r="V78" s="35" t="s">
        <v>79</v>
      </c>
      <c r="W78" s="35">
        <v>15</v>
      </c>
      <c r="X78" s="35" t="s">
        <v>80</v>
      </c>
      <c r="AD78" s="36">
        <v>195018675804</v>
      </c>
      <c r="AN78" s="35">
        <v>30</v>
      </c>
      <c r="AO78" s="35" t="s">
        <v>81</v>
      </c>
    </row>
    <row r="79" spans="1:41" s="35" customFormat="1" ht="45" x14ac:dyDescent="0.25">
      <c r="A79" s="36">
        <v>195018675811</v>
      </c>
      <c r="B79" s="35" t="s">
        <v>71</v>
      </c>
      <c r="C79" s="35" t="s">
        <v>72</v>
      </c>
      <c r="D79" s="35" t="s">
        <v>273</v>
      </c>
      <c r="E79" s="35" t="s">
        <v>274</v>
      </c>
      <c r="F79" s="35">
        <v>316210</v>
      </c>
      <c r="G79" s="35" t="s">
        <v>262</v>
      </c>
      <c r="H79" s="39" t="s">
        <v>275</v>
      </c>
      <c r="J79" s="35" t="s">
        <v>77</v>
      </c>
      <c r="M79" s="35">
        <v>140</v>
      </c>
      <c r="P79" s="35" t="s">
        <v>78</v>
      </c>
      <c r="Q79" s="56">
        <v>127.27272727272727</v>
      </c>
      <c r="R79" s="35">
        <v>70</v>
      </c>
      <c r="S79" s="33">
        <v>0.33</v>
      </c>
      <c r="T79" s="37">
        <f t="shared" si="3"/>
        <v>104.47761194029852</v>
      </c>
      <c r="U79" s="37">
        <f t="shared" si="4"/>
        <v>105.78358208955224</v>
      </c>
      <c r="V79" s="35" t="s">
        <v>79</v>
      </c>
      <c r="W79" s="35">
        <v>15</v>
      </c>
      <c r="X79" s="35" t="s">
        <v>80</v>
      </c>
      <c r="AD79" s="36">
        <v>195018675811</v>
      </c>
      <c r="AN79" s="35">
        <v>30</v>
      </c>
      <c r="AO79" s="35" t="s">
        <v>81</v>
      </c>
    </row>
    <row r="80" spans="1:41" s="35" customFormat="1" ht="45" x14ac:dyDescent="0.25">
      <c r="A80" s="36">
        <v>195018675828</v>
      </c>
      <c r="B80" s="35" t="s">
        <v>71</v>
      </c>
      <c r="C80" s="35" t="s">
        <v>72</v>
      </c>
      <c r="D80" s="35" t="s">
        <v>276</v>
      </c>
      <c r="E80" s="35" t="s">
        <v>277</v>
      </c>
      <c r="F80" s="35">
        <v>316210</v>
      </c>
      <c r="G80" s="35" t="s">
        <v>262</v>
      </c>
      <c r="H80" s="39" t="s">
        <v>278</v>
      </c>
      <c r="J80" s="35" t="s">
        <v>77</v>
      </c>
      <c r="M80" s="35">
        <v>140</v>
      </c>
      <c r="P80" s="35" t="s">
        <v>78</v>
      </c>
      <c r="Q80" s="56">
        <v>127.27272727272727</v>
      </c>
      <c r="R80" s="35">
        <v>70</v>
      </c>
      <c r="S80" s="33">
        <v>0.33</v>
      </c>
      <c r="T80" s="37">
        <f t="shared" si="3"/>
        <v>104.47761194029852</v>
      </c>
      <c r="U80" s="37">
        <f t="shared" si="4"/>
        <v>105.78358208955224</v>
      </c>
      <c r="V80" s="35" t="s">
        <v>79</v>
      </c>
      <c r="W80" s="35">
        <v>15</v>
      </c>
      <c r="X80" s="35" t="s">
        <v>80</v>
      </c>
      <c r="AD80" s="36">
        <v>195018675828</v>
      </c>
      <c r="AN80" s="35">
        <v>30</v>
      </c>
      <c r="AO80" s="35" t="s">
        <v>81</v>
      </c>
    </row>
    <row r="81" spans="1:41" s="35" customFormat="1" ht="45" x14ac:dyDescent="0.25">
      <c r="A81" s="36">
        <v>195018675835</v>
      </c>
      <c r="B81" s="35" t="s">
        <v>71</v>
      </c>
      <c r="C81" s="35" t="s">
        <v>72</v>
      </c>
      <c r="D81" s="35" t="s">
        <v>279</v>
      </c>
      <c r="E81" s="35" t="s">
        <v>280</v>
      </c>
      <c r="F81" s="35">
        <v>316210</v>
      </c>
      <c r="G81" s="35" t="s">
        <v>262</v>
      </c>
      <c r="H81" s="39" t="s">
        <v>281</v>
      </c>
      <c r="J81" s="35" t="s">
        <v>77</v>
      </c>
      <c r="M81" s="35">
        <v>140</v>
      </c>
      <c r="P81" s="35" t="s">
        <v>78</v>
      </c>
      <c r="Q81" s="56">
        <v>127.27272727272727</v>
      </c>
      <c r="R81" s="35">
        <v>70</v>
      </c>
      <c r="S81" s="33">
        <v>0.33</v>
      </c>
      <c r="T81" s="37">
        <f t="shared" si="3"/>
        <v>104.47761194029852</v>
      </c>
      <c r="U81" s="37">
        <f t="shared" si="4"/>
        <v>105.78358208955224</v>
      </c>
      <c r="V81" s="35" t="s">
        <v>79</v>
      </c>
      <c r="W81" s="35">
        <v>15</v>
      </c>
      <c r="X81" s="35" t="s">
        <v>80</v>
      </c>
      <c r="AD81" s="36">
        <v>195018675835</v>
      </c>
      <c r="AN81" s="35">
        <v>30</v>
      </c>
      <c r="AO81" s="35" t="s">
        <v>81</v>
      </c>
    </row>
    <row r="82" spans="1:41" s="35" customFormat="1" ht="45" x14ac:dyDescent="0.25">
      <c r="A82" s="36">
        <v>195018675842</v>
      </c>
      <c r="B82" s="35" t="s">
        <v>71</v>
      </c>
      <c r="C82" s="35" t="s">
        <v>72</v>
      </c>
      <c r="D82" s="35" t="s">
        <v>282</v>
      </c>
      <c r="E82" s="35" t="s">
        <v>283</v>
      </c>
      <c r="F82" s="35">
        <v>316210</v>
      </c>
      <c r="G82" s="35" t="s">
        <v>262</v>
      </c>
      <c r="H82" s="39" t="s">
        <v>284</v>
      </c>
      <c r="J82" s="35" t="s">
        <v>77</v>
      </c>
      <c r="M82" s="35">
        <v>140</v>
      </c>
      <c r="P82" s="35" t="s">
        <v>78</v>
      </c>
      <c r="Q82" s="56">
        <v>127.27272727272727</v>
      </c>
      <c r="R82" s="35">
        <v>70</v>
      </c>
      <c r="S82" s="33">
        <v>0.33</v>
      </c>
      <c r="T82" s="37">
        <f t="shared" si="3"/>
        <v>104.47761194029852</v>
      </c>
      <c r="U82" s="37">
        <f t="shared" si="4"/>
        <v>105.78358208955224</v>
      </c>
      <c r="V82" s="35" t="s">
        <v>79</v>
      </c>
      <c r="W82" s="35">
        <v>15</v>
      </c>
      <c r="X82" s="35" t="s">
        <v>80</v>
      </c>
      <c r="AD82" s="36">
        <v>195018675842</v>
      </c>
      <c r="AN82" s="35">
        <v>30</v>
      </c>
      <c r="AO82" s="35" t="s">
        <v>81</v>
      </c>
    </row>
    <row r="83" spans="1:41" s="35" customFormat="1" ht="45" x14ac:dyDescent="0.25">
      <c r="A83" s="36">
        <v>195018675859</v>
      </c>
      <c r="B83" s="35" t="s">
        <v>71</v>
      </c>
      <c r="C83" s="35" t="s">
        <v>72</v>
      </c>
      <c r="D83" s="35" t="s">
        <v>285</v>
      </c>
      <c r="E83" s="35" t="s">
        <v>286</v>
      </c>
      <c r="F83" s="35">
        <v>316210</v>
      </c>
      <c r="G83" s="35" t="s">
        <v>262</v>
      </c>
      <c r="H83" s="39" t="s">
        <v>287</v>
      </c>
      <c r="J83" s="35" t="s">
        <v>77</v>
      </c>
      <c r="M83" s="35">
        <v>140</v>
      </c>
      <c r="P83" s="35" t="s">
        <v>78</v>
      </c>
      <c r="Q83" s="56">
        <v>127.27272727272727</v>
      </c>
      <c r="R83" s="35">
        <v>70</v>
      </c>
      <c r="S83" s="33">
        <v>0.33</v>
      </c>
      <c r="T83" s="37">
        <f t="shared" si="3"/>
        <v>104.47761194029852</v>
      </c>
      <c r="U83" s="37">
        <f t="shared" si="4"/>
        <v>105.78358208955224</v>
      </c>
      <c r="V83" s="35" t="s">
        <v>79</v>
      </c>
      <c r="W83" s="35">
        <v>15</v>
      </c>
      <c r="X83" s="35" t="s">
        <v>80</v>
      </c>
      <c r="AD83" s="36">
        <v>195018675859</v>
      </c>
      <c r="AN83" s="35">
        <v>30</v>
      </c>
      <c r="AO83" s="35" t="s">
        <v>81</v>
      </c>
    </row>
    <row r="84" spans="1:41" s="35" customFormat="1" ht="45" x14ac:dyDescent="0.25">
      <c r="A84" s="36">
        <v>195018675637</v>
      </c>
      <c r="B84" s="35" t="s">
        <v>71</v>
      </c>
      <c r="C84" s="35" t="s">
        <v>72</v>
      </c>
      <c r="D84" s="35" t="s">
        <v>288</v>
      </c>
      <c r="E84" s="35" t="s">
        <v>289</v>
      </c>
      <c r="F84" s="35">
        <v>316210</v>
      </c>
      <c r="G84" s="35" t="s">
        <v>262</v>
      </c>
      <c r="H84" s="39" t="s">
        <v>290</v>
      </c>
      <c r="J84" s="35" t="s">
        <v>77</v>
      </c>
      <c r="M84" s="35">
        <v>140</v>
      </c>
      <c r="P84" s="35" t="s">
        <v>78</v>
      </c>
      <c r="Q84" s="56">
        <v>127.27272727272727</v>
      </c>
      <c r="R84" s="35">
        <v>70</v>
      </c>
      <c r="S84" s="33">
        <v>0.33</v>
      </c>
      <c r="T84" s="37">
        <f t="shared" si="3"/>
        <v>104.47761194029852</v>
      </c>
      <c r="U84" s="37">
        <f t="shared" si="4"/>
        <v>105.78358208955224</v>
      </c>
      <c r="V84" s="35" t="s">
        <v>79</v>
      </c>
      <c r="W84" s="35">
        <v>15</v>
      </c>
      <c r="X84" s="35" t="s">
        <v>80</v>
      </c>
      <c r="AD84" s="36">
        <v>195018675637</v>
      </c>
      <c r="AN84" s="35">
        <v>30</v>
      </c>
      <c r="AO84" s="35" t="s">
        <v>81</v>
      </c>
    </row>
    <row r="85" spans="1:41" s="35" customFormat="1" ht="45" x14ac:dyDescent="0.25">
      <c r="A85" s="36">
        <v>195018675866</v>
      </c>
      <c r="B85" s="35" t="s">
        <v>71</v>
      </c>
      <c r="C85" s="35" t="s">
        <v>72</v>
      </c>
      <c r="D85" s="35" t="s">
        <v>291</v>
      </c>
      <c r="E85" s="35" t="s">
        <v>292</v>
      </c>
      <c r="F85" s="35">
        <v>316210</v>
      </c>
      <c r="G85" s="35" t="s">
        <v>262</v>
      </c>
      <c r="H85" s="39" t="s">
        <v>293</v>
      </c>
      <c r="J85" s="35" t="s">
        <v>77</v>
      </c>
      <c r="M85" s="35">
        <v>140</v>
      </c>
      <c r="P85" s="35" t="s">
        <v>78</v>
      </c>
      <c r="Q85" s="56">
        <v>127.27272727272727</v>
      </c>
      <c r="R85" s="35">
        <v>70</v>
      </c>
      <c r="S85" s="33">
        <v>0.33</v>
      </c>
      <c r="T85" s="37">
        <f t="shared" si="3"/>
        <v>104.47761194029852</v>
      </c>
      <c r="U85" s="37">
        <f t="shared" si="4"/>
        <v>105.78358208955224</v>
      </c>
      <c r="V85" s="35" t="s">
        <v>79</v>
      </c>
      <c r="W85" s="35">
        <v>15</v>
      </c>
      <c r="X85" s="35" t="s">
        <v>80</v>
      </c>
      <c r="AD85" s="36">
        <v>195018675866</v>
      </c>
      <c r="AN85" s="35">
        <v>30</v>
      </c>
      <c r="AO85" s="35" t="s">
        <v>81</v>
      </c>
    </row>
    <row r="86" spans="1:41" s="35" customFormat="1" ht="45" x14ac:dyDescent="0.25">
      <c r="A86" s="36">
        <v>195018675644</v>
      </c>
      <c r="B86" s="35" t="s">
        <v>71</v>
      </c>
      <c r="C86" s="35" t="s">
        <v>72</v>
      </c>
      <c r="D86" s="35" t="s">
        <v>294</v>
      </c>
      <c r="E86" s="35" t="s">
        <v>295</v>
      </c>
      <c r="F86" s="35">
        <v>316210</v>
      </c>
      <c r="G86" s="35" t="s">
        <v>262</v>
      </c>
      <c r="H86" s="39" t="s">
        <v>296</v>
      </c>
      <c r="J86" s="35" t="s">
        <v>77</v>
      </c>
      <c r="M86" s="35">
        <v>140</v>
      </c>
      <c r="P86" s="35" t="s">
        <v>78</v>
      </c>
      <c r="Q86" s="56">
        <v>127.27272727272727</v>
      </c>
      <c r="R86" s="35">
        <v>70</v>
      </c>
      <c r="S86" s="33">
        <v>0.33</v>
      </c>
      <c r="T86" s="37">
        <f t="shared" si="3"/>
        <v>104.47761194029852</v>
      </c>
      <c r="U86" s="37">
        <f t="shared" si="4"/>
        <v>105.78358208955224</v>
      </c>
      <c r="V86" s="35" t="s">
        <v>79</v>
      </c>
      <c r="W86" s="35">
        <v>15</v>
      </c>
      <c r="X86" s="35" t="s">
        <v>80</v>
      </c>
      <c r="AD86" s="36">
        <v>195018675644</v>
      </c>
      <c r="AN86" s="35">
        <v>30</v>
      </c>
      <c r="AO86" s="35" t="s">
        <v>81</v>
      </c>
    </row>
    <row r="87" spans="1:41" s="35" customFormat="1" ht="45" x14ac:dyDescent="0.25">
      <c r="A87" s="36">
        <v>195018675873</v>
      </c>
      <c r="B87" s="35" t="s">
        <v>71</v>
      </c>
      <c r="C87" s="35" t="s">
        <v>72</v>
      </c>
      <c r="D87" s="35" t="s">
        <v>297</v>
      </c>
      <c r="E87" s="35" t="s">
        <v>298</v>
      </c>
      <c r="F87" s="35">
        <v>316210</v>
      </c>
      <c r="G87" s="35" t="s">
        <v>262</v>
      </c>
      <c r="H87" s="39" t="s">
        <v>299</v>
      </c>
      <c r="J87" s="35" t="s">
        <v>77</v>
      </c>
      <c r="M87" s="35">
        <v>140</v>
      </c>
      <c r="P87" s="35" t="s">
        <v>78</v>
      </c>
      <c r="Q87" s="56">
        <v>127.27272727272727</v>
      </c>
      <c r="R87" s="35">
        <v>70</v>
      </c>
      <c r="S87" s="33">
        <v>0.33</v>
      </c>
      <c r="T87" s="37">
        <f t="shared" si="3"/>
        <v>104.47761194029852</v>
      </c>
      <c r="U87" s="37">
        <f t="shared" si="4"/>
        <v>105.78358208955224</v>
      </c>
      <c r="V87" s="35" t="s">
        <v>79</v>
      </c>
      <c r="W87" s="35">
        <v>15</v>
      </c>
      <c r="X87" s="35" t="s">
        <v>80</v>
      </c>
      <c r="AD87" s="36">
        <v>195018675873</v>
      </c>
      <c r="AN87" s="35">
        <v>30</v>
      </c>
      <c r="AO87" s="35" t="s">
        <v>81</v>
      </c>
    </row>
    <row r="88" spans="1:41" s="35" customFormat="1" ht="45" x14ac:dyDescent="0.25">
      <c r="A88" s="36">
        <v>195018675651</v>
      </c>
      <c r="B88" s="35" t="s">
        <v>71</v>
      </c>
      <c r="C88" s="35" t="s">
        <v>72</v>
      </c>
      <c r="D88" s="35" t="s">
        <v>300</v>
      </c>
      <c r="E88" s="35" t="s">
        <v>301</v>
      </c>
      <c r="F88" s="35">
        <v>316210</v>
      </c>
      <c r="G88" s="35" t="s">
        <v>262</v>
      </c>
      <c r="H88" s="39" t="s">
        <v>302</v>
      </c>
      <c r="J88" s="35" t="s">
        <v>77</v>
      </c>
      <c r="M88" s="35">
        <v>140</v>
      </c>
      <c r="P88" s="35" t="s">
        <v>78</v>
      </c>
      <c r="Q88" s="56">
        <v>127.27272727272727</v>
      </c>
      <c r="R88" s="35">
        <v>70</v>
      </c>
      <c r="S88" s="33">
        <v>0.33</v>
      </c>
      <c r="T88" s="37">
        <f t="shared" si="3"/>
        <v>104.47761194029852</v>
      </c>
      <c r="U88" s="37">
        <f t="shared" si="4"/>
        <v>105.78358208955224</v>
      </c>
      <c r="V88" s="35" t="s">
        <v>79</v>
      </c>
      <c r="W88" s="35">
        <v>15</v>
      </c>
      <c r="X88" s="35" t="s">
        <v>80</v>
      </c>
      <c r="AD88" s="36">
        <v>195018675651</v>
      </c>
      <c r="AN88" s="35">
        <v>30</v>
      </c>
      <c r="AO88" s="35" t="s">
        <v>81</v>
      </c>
    </row>
    <row r="89" spans="1:41" s="35" customFormat="1" ht="45" x14ac:dyDescent="0.25">
      <c r="A89" s="36">
        <v>195018675880</v>
      </c>
      <c r="B89" s="35" t="s">
        <v>71</v>
      </c>
      <c r="C89" s="35" t="s">
        <v>72</v>
      </c>
      <c r="D89" s="35" t="s">
        <v>303</v>
      </c>
      <c r="E89" s="35" t="s">
        <v>304</v>
      </c>
      <c r="F89" s="35">
        <v>316210</v>
      </c>
      <c r="G89" s="35" t="s">
        <v>262</v>
      </c>
      <c r="H89" s="39" t="s">
        <v>305</v>
      </c>
      <c r="J89" s="35" t="s">
        <v>77</v>
      </c>
      <c r="M89" s="35">
        <v>140</v>
      </c>
      <c r="P89" s="35" t="s">
        <v>78</v>
      </c>
      <c r="Q89" s="56">
        <v>127.27272727272727</v>
      </c>
      <c r="R89" s="35">
        <v>70</v>
      </c>
      <c r="S89" s="33">
        <v>0.33</v>
      </c>
      <c r="T89" s="37">
        <f t="shared" si="3"/>
        <v>104.47761194029852</v>
      </c>
      <c r="U89" s="37">
        <f t="shared" si="4"/>
        <v>105.78358208955224</v>
      </c>
      <c r="V89" s="35" t="s">
        <v>79</v>
      </c>
      <c r="W89" s="35">
        <v>15</v>
      </c>
      <c r="X89" s="35" t="s">
        <v>80</v>
      </c>
      <c r="AD89" s="36">
        <v>195018675880</v>
      </c>
      <c r="AN89" s="35">
        <v>30</v>
      </c>
      <c r="AO89" s="35" t="s">
        <v>81</v>
      </c>
    </row>
    <row r="90" spans="1:41" s="35" customFormat="1" ht="45" x14ac:dyDescent="0.25">
      <c r="A90" s="36">
        <v>195018675668</v>
      </c>
      <c r="B90" s="35" t="s">
        <v>71</v>
      </c>
      <c r="C90" s="35" t="s">
        <v>72</v>
      </c>
      <c r="D90" s="35" t="s">
        <v>306</v>
      </c>
      <c r="E90" s="35" t="s">
        <v>307</v>
      </c>
      <c r="F90" s="35">
        <v>316210</v>
      </c>
      <c r="G90" s="35" t="s">
        <v>262</v>
      </c>
      <c r="H90" s="39" t="s">
        <v>308</v>
      </c>
      <c r="J90" s="35" t="s">
        <v>77</v>
      </c>
      <c r="M90" s="35">
        <v>140</v>
      </c>
      <c r="P90" s="35" t="s">
        <v>78</v>
      </c>
      <c r="Q90" s="56">
        <v>127.27272727272727</v>
      </c>
      <c r="R90" s="35">
        <v>70</v>
      </c>
      <c r="S90" s="33">
        <v>0.33</v>
      </c>
      <c r="T90" s="37">
        <f t="shared" si="3"/>
        <v>104.47761194029852</v>
      </c>
      <c r="U90" s="37">
        <f t="shared" si="4"/>
        <v>105.78358208955224</v>
      </c>
      <c r="V90" s="35" t="s">
        <v>79</v>
      </c>
      <c r="W90" s="35">
        <v>15</v>
      </c>
      <c r="X90" s="35" t="s">
        <v>80</v>
      </c>
      <c r="AD90" s="36">
        <v>195018675668</v>
      </c>
      <c r="AN90" s="35">
        <v>30</v>
      </c>
      <c r="AO90" s="35" t="s">
        <v>81</v>
      </c>
    </row>
    <row r="91" spans="1:41" s="35" customFormat="1" ht="45" x14ac:dyDescent="0.25">
      <c r="A91" s="36">
        <v>195018675897</v>
      </c>
      <c r="B91" s="35" t="s">
        <v>71</v>
      </c>
      <c r="C91" s="35" t="s">
        <v>72</v>
      </c>
      <c r="D91" s="35" t="s">
        <v>309</v>
      </c>
      <c r="E91" s="35" t="s">
        <v>310</v>
      </c>
      <c r="F91" s="35">
        <v>316210</v>
      </c>
      <c r="G91" s="35" t="s">
        <v>262</v>
      </c>
      <c r="H91" s="39" t="s">
        <v>311</v>
      </c>
      <c r="J91" s="35" t="s">
        <v>77</v>
      </c>
      <c r="M91" s="35">
        <v>140</v>
      </c>
      <c r="P91" s="35" t="s">
        <v>78</v>
      </c>
      <c r="Q91" s="56">
        <v>127.27272727272727</v>
      </c>
      <c r="R91" s="35">
        <v>70</v>
      </c>
      <c r="S91" s="33">
        <v>0.33</v>
      </c>
      <c r="T91" s="37">
        <f t="shared" si="3"/>
        <v>104.47761194029852</v>
      </c>
      <c r="U91" s="37">
        <f t="shared" si="4"/>
        <v>105.78358208955224</v>
      </c>
      <c r="V91" s="35" t="s">
        <v>79</v>
      </c>
      <c r="W91" s="35">
        <v>15</v>
      </c>
      <c r="X91" s="35" t="s">
        <v>80</v>
      </c>
      <c r="AD91" s="36">
        <v>195018675897</v>
      </c>
      <c r="AN91" s="35">
        <v>30</v>
      </c>
      <c r="AO91" s="35" t="s">
        <v>81</v>
      </c>
    </row>
    <row r="92" spans="1:41" s="35" customFormat="1" ht="45" x14ac:dyDescent="0.25">
      <c r="A92" s="36">
        <v>195018675675</v>
      </c>
      <c r="B92" s="35" t="s">
        <v>71</v>
      </c>
      <c r="C92" s="35" t="s">
        <v>72</v>
      </c>
      <c r="D92" s="35" t="s">
        <v>312</v>
      </c>
      <c r="E92" s="35" t="s">
        <v>313</v>
      </c>
      <c r="F92" s="35">
        <v>316210</v>
      </c>
      <c r="G92" s="35" t="s">
        <v>262</v>
      </c>
      <c r="H92" s="39" t="s">
        <v>314</v>
      </c>
      <c r="J92" s="35" t="s">
        <v>77</v>
      </c>
      <c r="M92" s="35">
        <v>140</v>
      </c>
      <c r="P92" s="35" t="s">
        <v>78</v>
      </c>
      <c r="Q92" s="56">
        <v>127.27272727272727</v>
      </c>
      <c r="R92" s="35">
        <v>70</v>
      </c>
      <c r="S92" s="33">
        <v>0.33</v>
      </c>
      <c r="T92" s="37">
        <f t="shared" si="3"/>
        <v>104.47761194029852</v>
      </c>
      <c r="U92" s="37">
        <f t="shared" si="4"/>
        <v>105.78358208955224</v>
      </c>
      <c r="V92" s="35" t="s">
        <v>79</v>
      </c>
      <c r="W92" s="35">
        <v>15</v>
      </c>
      <c r="X92" s="35" t="s">
        <v>80</v>
      </c>
      <c r="AD92" s="36">
        <v>195018675675</v>
      </c>
      <c r="AN92" s="35">
        <v>30</v>
      </c>
      <c r="AO92" s="35" t="s">
        <v>81</v>
      </c>
    </row>
    <row r="93" spans="1:41" s="35" customFormat="1" ht="45" x14ac:dyDescent="0.25">
      <c r="A93" s="36">
        <v>195018675903</v>
      </c>
      <c r="B93" s="35" t="s">
        <v>71</v>
      </c>
      <c r="C93" s="35" t="s">
        <v>72</v>
      </c>
      <c r="D93" s="35" t="s">
        <v>315</v>
      </c>
      <c r="E93" s="35" t="s">
        <v>316</v>
      </c>
      <c r="F93" s="35">
        <v>316210</v>
      </c>
      <c r="G93" s="35" t="s">
        <v>262</v>
      </c>
      <c r="H93" s="39" t="s">
        <v>317</v>
      </c>
      <c r="J93" s="35" t="s">
        <v>77</v>
      </c>
      <c r="M93" s="35">
        <v>140</v>
      </c>
      <c r="P93" s="35" t="s">
        <v>78</v>
      </c>
      <c r="Q93" s="56">
        <v>127.27272727272727</v>
      </c>
      <c r="R93" s="35">
        <v>70</v>
      </c>
      <c r="S93" s="33">
        <v>0.33</v>
      </c>
      <c r="T93" s="37">
        <f t="shared" si="3"/>
        <v>104.47761194029852</v>
      </c>
      <c r="U93" s="37">
        <f t="shared" si="4"/>
        <v>105.78358208955224</v>
      </c>
      <c r="V93" s="35" t="s">
        <v>79</v>
      </c>
      <c r="W93" s="35">
        <v>15</v>
      </c>
      <c r="X93" s="35" t="s">
        <v>80</v>
      </c>
      <c r="AD93" s="36">
        <v>195018675903</v>
      </c>
      <c r="AN93" s="35">
        <v>30</v>
      </c>
      <c r="AO93" s="35" t="s">
        <v>81</v>
      </c>
    </row>
    <row r="94" spans="1:41" s="35" customFormat="1" ht="45" x14ac:dyDescent="0.25">
      <c r="A94" s="36">
        <v>195018675682</v>
      </c>
      <c r="B94" s="35" t="s">
        <v>71</v>
      </c>
      <c r="C94" s="35" t="s">
        <v>72</v>
      </c>
      <c r="D94" s="35" t="s">
        <v>318</v>
      </c>
      <c r="E94" s="35" t="s">
        <v>319</v>
      </c>
      <c r="F94" s="35">
        <v>316210</v>
      </c>
      <c r="G94" s="35" t="s">
        <v>262</v>
      </c>
      <c r="H94" s="39" t="s">
        <v>320</v>
      </c>
      <c r="J94" s="35" t="s">
        <v>77</v>
      </c>
      <c r="M94" s="35">
        <v>140</v>
      </c>
      <c r="P94" s="35" t="s">
        <v>78</v>
      </c>
      <c r="Q94" s="56">
        <v>127.27272727272727</v>
      </c>
      <c r="R94" s="35">
        <v>70</v>
      </c>
      <c r="S94" s="33">
        <v>0.33</v>
      </c>
      <c r="T94" s="37">
        <f t="shared" si="3"/>
        <v>104.47761194029852</v>
      </c>
      <c r="U94" s="37">
        <f t="shared" si="4"/>
        <v>105.78358208955224</v>
      </c>
      <c r="V94" s="35" t="s">
        <v>79</v>
      </c>
      <c r="W94" s="35">
        <v>15</v>
      </c>
      <c r="X94" s="35" t="s">
        <v>80</v>
      </c>
      <c r="AD94" s="36">
        <v>195018675682</v>
      </c>
      <c r="AN94" s="35">
        <v>30</v>
      </c>
      <c r="AO94" s="35" t="s">
        <v>81</v>
      </c>
    </row>
    <row r="95" spans="1:41" s="35" customFormat="1" ht="45" x14ac:dyDescent="0.25">
      <c r="A95" s="36">
        <v>195018675910</v>
      </c>
      <c r="B95" s="35" t="s">
        <v>71</v>
      </c>
      <c r="C95" s="35" t="s">
        <v>72</v>
      </c>
      <c r="D95" s="35" t="s">
        <v>321</v>
      </c>
      <c r="E95" s="35" t="s">
        <v>322</v>
      </c>
      <c r="F95" s="35">
        <v>316210</v>
      </c>
      <c r="G95" s="35" t="s">
        <v>262</v>
      </c>
      <c r="H95" s="39" t="s">
        <v>323</v>
      </c>
      <c r="J95" s="35" t="s">
        <v>77</v>
      </c>
      <c r="M95" s="35">
        <v>140</v>
      </c>
      <c r="P95" s="35" t="s">
        <v>78</v>
      </c>
      <c r="Q95" s="56">
        <v>127.27272727272727</v>
      </c>
      <c r="R95" s="35">
        <v>70</v>
      </c>
      <c r="S95" s="33">
        <v>0.33</v>
      </c>
      <c r="T95" s="37">
        <f t="shared" si="3"/>
        <v>104.47761194029852</v>
      </c>
      <c r="U95" s="37">
        <f t="shared" si="4"/>
        <v>105.78358208955224</v>
      </c>
      <c r="V95" s="35" t="s">
        <v>79</v>
      </c>
      <c r="W95" s="35">
        <v>15</v>
      </c>
      <c r="X95" s="35" t="s">
        <v>80</v>
      </c>
      <c r="AD95" s="36">
        <v>195018675910</v>
      </c>
      <c r="AN95" s="35">
        <v>30</v>
      </c>
      <c r="AO95" s="35" t="s">
        <v>81</v>
      </c>
    </row>
    <row r="96" spans="1:41" s="35" customFormat="1" ht="45" x14ac:dyDescent="0.25">
      <c r="A96" s="36">
        <v>195018675699</v>
      </c>
      <c r="B96" s="35" t="s">
        <v>71</v>
      </c>
      <c r="C96" s="35" t="s">
        <v>72</v>
      </c>
      <c r="D96" s="35" t="s">
        <v>324</v>
      </c>
      <c r="E96" s="35" t="s">
        <v>325</v>
      </c>
      <c r="F96" s="35">
        <v>316210</v>
      </c>
      <c r="G96" s="35" t="s">
        <v>262</v>
      </c>
      <c r="H96" s="39" t="s">
        <v>326</v>
      </c>
      <c r="J96" s="35" t="s">
        <v>77</v>
      </c>
      <c r="M96" s="35">
        <v>140</v>
      </c>
      <c r="P96" s="35" t="s">
        <v>78</v>
      </c>
      <c r="Q96" s="56">
        <v>127.27272727272727</v>
      </c>
      <c r="R96" s="35">
        <v>70</v>
      </c>
      <c r="S96" s="33">
        <v>0.33</v>
      </c>
      <c r="T96" s="37">
        <f t="shared" si="3"/>
        <v>104.47761194029852</v>
      </c>
      <c r="U96" s="37">
        <f t="shared" si="4"/>
        <v>105.78358208955224</v>
      </c>
      <c r="V96" s="35" t="s">
        <v>79</v>
      </c>
      <c r="W96" s="35">
        <v>15</v>
      </c>
      <c r="X96" s="35" t="s">
        <v>80</v>
      </c>
      <c r="AD96" s="36">
        <v>195018675699</v>
      </c>
      <c r="AN96" s="35">
        <v>30</v>
      </c>
      <c r="AO96" s="35" t="s">
        <v>81</v>
      </c>
    </row>
    <row r="97" spans="1:41" s="35" customFormat="1" ht="45" x14ac:dyDescent="0.25">
      <c r="A97" s="36">
        <v>195018675927</v>
      </c>
      <c r="B97" s="35" t="s">
        <v>71</v>
      </c>
      <c r="C97" s="35" t="s">
        <v>72</v>
      </c>
      <c r="D97" s="35" t="s">
        <v>327</v>
      </c>
      <c r="E97" s="35" t="s">
        <v>328</v>
      </c>
      <c r="F97" s="35">
        <v>316210</v>
      </c>
      <c r="G97" s="35" t="s">
        <v>262</v>
      </c>
      <c r="H97" s="39" t="s">
        <v>329</v>
      </c>
      <c r="J97" s="35" t="s">
        <v>77</v>
      </c>
      <c r="M97" s="35">
        <v>140</v>
      </c>
      <c r="P97" s="35" t="s">
        <v>78</v>
      </c>
      <c r="Q97" s="56">
        <v>127.27272727272727</v>
      </c>
      <c r="R97" s="35">
        <v>70</v>
      </c>
      <c r="S97" s="33">
        <v>0.33</v>
      </c>
      <c r="T97" s="37">
        <f t="shared" si="3"/>
        <v>104.47761194029852</v>
      </c>
      <c r="U97" s="37">
        <f t="shared" si="4"/>
        <v>105.78358208955224</v>
      </c>
      <c r="V97" s="35" t="s">
        <v>79</v>
      </c>
      <c r="W97" s="35">
        <v>15</v>
      </c>
      <c r="X97" s="35" t="s">
        <v>80</v>
      </c>
      <c r="AD97" s="36">
        <v>195018675927</v>
      </c>
      <c r="AN97" s="35">
        <v>30</v>
      </c>
      <c r="AO97" s="35" t="s">
        <v>81</v>
      </c>
    </row>
    <row r="98" spans="1:41" s="35" customFormat="1" ht="45" x14ac:dyDescent="0.25">
      <c r="A98" s="36">
        <v>195018675705</v>
      </c>
      <c r="B98" s="35" t="s">
        <v>71</v>
      </c>
      <c r="C98" s="35" t="s">
        <v>72</v>
      </c>
      <c r="D98" s="35" t="s">
        <v>330</v>
      </c>
      <c r="E98" s="35" t="s">
        <v>331</v>
      </c>
      <c r="F98" s="35">
        <v>316210</v>
      </c>
      <c r="G98" s="35" t="s">
        <v>262</v>
      </c>
      <c r="H98" s="39" t="s">
        <v>332</v>
      </c>
      <c r="J98" s="35" t="s">
        <v>77</v>
      </c>
      <c r="M98" s="35">
        <v>140</v>
      </c>
      <c r="P98" s="35" t="s">
        <v>78</v>
      </c>
      <c r="Q98" s="56">
        <v>127.27272727272727</v>
      </c>
      <c r="R98" s="35">
        <v>70</v>
      </c>
      <c r="S98" s="33">
        <v>0.33</v>
      </c>
      <c r="T98" s="37">
        <f t="shared" si="3"/>
        <v>104.47761194029852</v>
      </c>
      <c r="U98" s="37">
        <f t="shared" si="4"/>
        <v>105.78358208955224</v>
      </c>
      <c r="V98" s="35" t="s">
        <v>79</v>
      </c>
      <c r="W98" s="35">
        <v>15</v>
      </c>
      <c r="X98" s="35" t="s">
        <v>80</v>
      </c>
      <c r="AD98" s="36">
        <v>195018675705</v>
      </c>
      <c r="AN98" s="35">
        <v>30</v>
      </c>
      <c r="AO98" s="35" t="s">
        <v>81</v>
      </c>
    </row>
    <row r="99" spans="1:41" s="35" customFormat="1" ht="45" x14ac:dyDescent="0.25">
      <c r="A99" s="36">
        <v>195018675934</v>
      </c>
      <c r="B99" s="35" t="s">
        <v>71</v>
      </c>
      <c r="C99" s="35" t="s">
        <v>72</v>
      </c>
      <c r="D99" s="35" t="s">
        <v>333</v>
      </c>
      <c r="E99" s="35" t="s">
        <v>334</v>
      </c>
      <c r="F99" s="35">
        <v>316210</v>
      </c>
      <c r="G99" s="35" t="s">
        <v>262</v>
      </c>
      <c r="H99" s="39" t="s">
        <v>335</v>
      </c>
      <c r="J99" s="35" t="s">
        <v>77</v>
      </c>
      <c r="M99" s="35">
        <v>140</v>
      </c>
      <c r="P99" s="35" t="s">
        <v>78</v>
      </c>
      <c r="Q99" s="56">
        <v>127.27272727272727</v>
      </c>
      <c r="R99" s="35">
        <v>70</v>
      </c>
      <c r="S99" s="33">
        <v>0.33</v>
      </c>
      <c r="T99" s="37">
        <f t="shared" si="3"/>
        <v>104.47761194029852</v>
      </c>
      <c r="U99" s="37">
        <f t="shared" si="4"/>
        <v>105.78358208955224</v>
      </c>
      <c r="V99" s="35" t="s">
        <v>79</v>
      </c>
      <c r="W99" s="35">
        <v>15</v>
      </c>
      <c r="X99" s="35" t="s">
        <v>80</v>
      </c>
      <c r="AD99" s="36">
        <v>195018675934</v>
      </c>
      <c r="AN99" s="35">
        <v>30</v>
      </c>
      <c r="AO99" s="35" t="s">
        <v>81</v>
      </c>
    </row>
    <row r="100" spans="1:41" s="35" customFormat="1" ht="45" x14ac:dyDescent="0.25">
      <c r="A100" s="36">
        <v>195018675712</v>
      </c>
      <c r="B100" s="35" t="s">
        <v>71</v>
      </c>
      <c r="C100" s="35" t="s">
        <v>72</v>
      </c>
      <c r="D100" s="35" t="s">
        <v>336</v>
      </c>
      <c r="E100" s="35" t="s">
        <v>337</v>
      </c>
      <c r="F100" s="35">
        <v>316210</v>
      </c>
      <c r="G100" s="35" t="s">
        <v>262</v>
      </c>
      <c r="H100" s="39" t="s">
        <v>338</v>
      </c>
      <c r="J100" s="35" t="s">
        <v>77</v>
      </c>
      <c r="M100" s="35">
        <v>140</v>
      </c>
      <c r="P100" s="35" t="s">
        <v>78</v>
      </c>
      <c r="Q100" s="56">
        <v>127.27272727272727</v>
      </c>
      <c r="R100" s="35">
        <v>70</v>
      </c>
      <c r="S100" s="33">
        <v>0.33</v>
      </c>
      <c r="T100" s="37">
        <f t="shared" si="3"/>
        <v>104.47761194029852</v>
      </c>
      <c r="U100" s="37">
        <f t="shared" si="4"/>
        <v>105.78358208955224</v>
      </c>
      <c r="V100" s="35" t="s">
        <v>79</v>
      </c>
      <c r="W100" s="35">
        <v>15</v>
      </c>
      <c r="X100" s="35" t="s">
        <v>80</v>
      </c>
      <c r="AD100" s="36">
        <v>195018675712</v>
      </c>
      <c r="AN100" s="35">
        <v>30</v>
      </c>
      <c r="AO100" s="35" t="s">
        <v>81</v>
      </c>
    </row>
    <row r="101" spans="1:41" s="35" customFormat="1" ht="45" x14ac:dyDescent="0.25">
      <c r="A101" s="36">
        <v>195018675941</v>
      </c>
      <c r="B101" s="35" t="s">
        <v>71</v>
      </c>
      <c r="C101" s="35" t="s">
        <v>72</v>
      </c>
      <c r="D101" s="35" t="s">
        <v>339</v>
      </c>
      <c r="E101" s="35" t="s">
        <v>340</v>
      </c>
      <c r="F101" s="35">
        <v>316210</v>
      </c>
      <c r="G101" s="35" t="s">
        <v>262</v>
      </c>
      <c r="H101" s="39" t="s">
        <v>341</v>
      </c>
      <c r="J101" s="35" t="s">
        <v>77</v>
      </c>
      <c r="M101" s="35">
        <v>140</v>
      </c>
      <c r="P101" s="35" t="s">
        <v>78</v>
      </c>
      <c r="Q101" s="56">
        <v>127.27272727272727</v>
      </c>
      <c r="R101" s="35">
        <v>70</v>
      </c>
      <c r="S101" s="33">
        <v>0.33</v>
      </c>
      <c r="T101" s="37">
        <f t="shared" si="3"/>
        <v>104.47761194029852</v>
      </c>
      <c r="U101" s="37">
        <f t="shared" si="4"/>
        <v>105.78358208955224</v>
      </c>
      <c r="V101" s="35" t="s">
        <v>79</v>
      </c>
      <c r="W101" s="35">
        <v>15</v>
      </c>
      <c r="X101" s="35" t="s">
        <v>80</v>
      </c>
      <c r="AD101" s="36">
        <v>195018675941</v>
      </c>
      <c r="AN101" s="35">
        <v>30</v>
      </c>
      <c r="AO101" s="35" t="s">
        <v>81</v>
      </c>
    </row>
    <row r="102" spans="1:41" s="35" customFormat="1" ht="45" x14ac:dyDescent="0.25">
      <c r="A102" s="36">
        <v>195018675729</v>
      </c>
      <c r="B102" s="35" t="s">
        <v>71</v>
      </c>
      <c r="C102" s="35" t="s">
        <v>72</v>
      </c>
      <c r="D102" s="35" t="s">
        <v>342</v>
      </c>
      <c r="E102" s="35" t="s">
        <v>343</v>
      </c>
      <c r="F102" s="35">
        <v>316210</v>
      </c>
      <c r="G102" s="35" t="s">
        <v>262</v>
      </c>
      <c r="H102" s="39" t="s">
        <v>344</v>
      </c>
      <c r="J102" s="35" t="s">
        <v>77</v>
      </c>
      <c r="M102" s="35">
        <v>140</v>
      </c>
      <c r="P102" s="35" t="s">
        <v>78</v>
      </c>
      <c r="Q102" s="56">
        <v>127.27272727272727</v>
      </c>
      <c r="R102" s="35">
        <v>70</v>
      </c>
      <c r="S102" s="33">
        <v>0.33</v>
      </c>
      <c r="T102" s="37">
        <f t="shared" si="3"/>
        <v>104.47761194029852</v>
      </c>
      <c r="U102" s="37">
        <f t="shared" si="4"/>
        <v>105.78358208955224</v>
      </c>
      <c r="V102" s="35" t="s">
        <v>79</v>
      </c>
      <c r="W102" s="35">
        <v>15</v>
      </c>
      <c r="X102" s="35" t="s">
        <v>80</v>
      </c>
      <c r="AD102" s="36">
        <v>195018675729</v>
      </c>
      <c r="AN102" s="35">
        <v>30</v>
      </c>
      <c r="AO102" s="35" t="s">
        <v>81</v>
      </c>
    </row>
    <row r="103" spans="1:41" s="35" customFormat="1" ht="45" x14ac:dyDescent="0.25">
      <c r="A103" s="36">
        <v>195018675958</v>
      </c>
      <c r="B103" s="35" t="s">
        <v>71</v>
      </c>
      <c r="C103" s="35" t="s">
        <v>72</v>
      </c>
      <c r="D103" s="35" t="s">
        <v>345</v>
      </c>
      <c r="E103" s="35" t="s">
        <v>346</v>
      </c>
      <c r="F103" s="35">
        <v>316210</v>
      </c>
      <c r="G103" s="35" t="s">
        <v>262</v>
      </c>
      <c r="H103" s="39" t="s">
        <v>347</v>
      </c>
      <c r="J103" s="35" t="s">
        <v>77</v>
      </c>
      <c r="M103" s="35">
        <v>140</v>
      </c>
      <c r="P103" s="35" t="s">
        <v>78</v>
      </c>
      <c r="Q103" s="56">
        <v>127.27272727272727</v>
      </c>
      <c r="R103" s="35">
        <v>70</v>
      </c>
      <c r="S103" s="33">
        <v>0.33</v>
      </c>
      <c r="T103" s="37">
        <f t="shared" si="3"/>
        <v>104.47761194029852</v>
      </c>
      <c r="U103" s="37">
        <f t="shared" si="4"/>
        <v>105.78358208955224</v>
      </c>
      <c r="V103" s="35" t="s">
        <v>79</v>
      </c>
      <c r="W103" s="35">
        <v>15</v>
      </c>
      <c r="X103" s="35" t="s">
        <v>80</v>
      </c>
      <c r="AD103" s="36">
        <v>195018675958</v>
      </c>
      <c r="AN103" s="35">
        <v>30</v>
      </c>
      <c r="AO103" s="35" t="s">
        <v>81</v>
      </c>
    </row>
    <row r="104" spans="1:41" s="35" customFormat="1" ht="45" x14ac:dyDescent="0.25">
      <c r="A104" s="36">
        <v>195018675736</v>
      </c>
      <c r="B104" s="35" t="s">
        <v>71</v>
      </c>
      <c r="C104" s="35" t="s">
        <v>72</v>
      </c>
      <c r="D104" s="35" t="s">
        <v>348</v>
      </c>
      <c r="E104" s="35" t="s">
        <v>349</v>
      </c>
      <c r="F104" s="35">
        <v>316210</v>
      </c>
      <c r="G104" s="35" t="s">
        <v>262</v>
      </c>
      <c r="H104" s="39" t="s">
        <v>350</v>
      </c>
      <c r="J104" s="35" t="s">
        <v>77</v>
      </c>
      <c r="M104" s="35">
        <v>140</v>
      </c>
      <c r="P104" s="35" t="s">
        <v>78</v>
      </c>
      <c r="Q104" s="56">
        <v>127.27272727272727</v>
      </c>
      <c r="R104" s="35">
        <v>70</v>
      </c>
      <c r="S104" s="33">
        <v>0.33</v>
      </c>
      <c r="T104" s="37">
        <f t="shared" si="3"/>
        <v>104.47761194029852</v>
      </c>
      <c r="U104" s="37">
        <f t="shared" si="4"/>
        <v>105.78358208955224</v>
      </c>
      <c r="V104" s="35" t="s">
        <v>79</v>
      </c>
      <c r="W104" s="35">
        <v>15</v>
      </c>
      <c r="X104" s="35" t="s">
        <v>80</v>
      </c>
      <c r="AD104" s="36">
        <v>195018675736</v>
      </c>
      <c r="AN104" s="35">
        <v>30</v>
      </c>
      <c r="AO104" s="35" t="s">
        <v>81</v>
      </c>
    </row>
    <row r="105" spans="1:41" s="35" customFormat="1" ht="45" x14ac:dyDescent="0.25">
      <c r="A105" s="36">
        <v>195018675965</v>
      </c>
      <c r="B105" s="35" t="s">
        <v>71</v>
      </c>
      <c r="C105" s="35" t="s">
        <v>72</v>
      </c>
      <c r="D105" s="35" t="s">
        <v>351</v>
      </c>
      <c r="E105" s="35" t="s">
        <v>352</v>
      </c>
      <c r="F105" s="35">
        <v>316210</v>
      </c>
      <c r="G105" s="35" t="s">
        <v>262</v>
      </c>
      <c r="H105" s="39" t="s">
        <v>353</v>
      </c>
      <c r="J105" s="35" t="s">
        <v>77</v>
      </c>
      <c r="M105" s="35">
        <v>140</v>
      </c>
      <c r="P105" s="35" t="s">
        <v>78</v>
      </c>
      <c r="Q105" s="56">
        <v>127.27272727272727</v>
      </c>
      <c r="R105" s="35">
        <v>70</v>
      </c>
      <c r="S105" s="33">
        <v>0.33</v>
      </c>
      <c r="T105" s="37">
        <f t="shared" si="3"/>
        <v>104.47761194029852</v>
      </c>
      <c r="U105" s="37">
        <f t="shared" si="4"/>
        <v>105.78358208955224</v>
      </c>
      <c r="V105" s="35" t="s">
        <v>79</v>
      </c>
      <c r="W105" s="35">
        <v>15</v>
      </c>
      <c r="X105" s="35" t="s">
        <v>80</v>
      </c>
      <c r="AD105" s="36">
        <v>195018675965</v>
      </c>
      <c r="AN105" s="35">
        <v>30</v>
      </c>
      <c r="AO105" s="35" t="s">
        <v>81</v>
      </c>
    </row>
    <row r="106" spans="1:41" s="35" customFormat="1" ht="45" x14ac:dyDescent="0.25">
      <c r="A106" s="36">
        <v>195018675743</v>
      </c>
      <c r="B106" s="35" t="s">
        <v>71</v>
      </c>
      <c r="C106" s="35" t="s">
        <v>72</v>
      </c>
      <c r="D106" s="35" t="s">
        <v>354</v>
      </c>
      <c r="E106" s="35" t="s">
        <v>355</v>
      </c>
      <c r="F106" s="35">
        <v>316210</v>
      </c>
      <c r="G106" s="35" t="s">
        <v>262</v>
      </c>
      <c r="H106" s="39" t="s">
        <v>356</v>
      </c>
      <c r="J106" s="35" t="s">
        <v>77</v>
      </c>
      <c r="M106" s="35">
        <v>140</v>
      </c>
      <c r="P106" s="35" t="s">
        <v>78</v>
      </c>
      <c r="Q106" s="56">
        <v>127.27272727272727</v>
      </c>
      <c r="R106" s="35">
        <v>70</v>
      </c>
      <c r="S106" s="33">
        <v>0.33</v>
      </c>
      <c r="T106" s="37">
        <f t="shared" si="3"/>
        <v>104.47761194029852</v>
      </c>
      <c r="U106" s="37">
        <f t="shared" si="4"/>
        <v>105.78358208955224</v>
      </c>
      <c r="V106" s="35" t="s">
        <v>79</v>
      </c>
      <c r="W106" s="35">
        <v>15</v>
      </c>
      <c r="X106" s="35" t="s">
        <v>80</v>
      </c>
      <c r="AD106" s="36">
        <v>195018675743</v>
      </c>
      <c r="AN106" s="35">
        <v>30</v>
      </c>
      <c r="AO106" s="35" t="s">
        <v>81</v>
      </c>
    </row>
    <row r="107" spans="1:41" s="35" customFormat="1" ht="45" x14ac:dyDescent="0.25">
      <c r="A107" s="36">
        <v>195018675972</v>
      </c>
      <c r="B107" s="35" t="s">
        <v>71</v>
      </c>
      <c r="C107" s="35" t="s">
        <v>72</v>
      </c>
      <c r="D107" s="35" t="s">
        <v>357</v>
      </c>
      <c r="E107" s="35" t="s">
        <v>358</v>
      </c>
      <c r="F107" s="35">
        <v>316210</v>
      </c>
      <c r="G107" s="35" t="s">
        <v>262</v>
      </c>
      <c r="H107" s="39" t="s">
        <v>359</v>
      </c>
      <c r="J107" s="35" t="s">
        <v>77</v>
      </c>
      <c r="M107" s="35">
        <v>140</v>
      </c>
      <c r="P107" s="35" t="s">
        <v>78</v>
      </c>
      <c r="Q107" s="56">
        <v>127.27272727272727</v>
      </c>
      <c r="R107" s="35">
        <v>70</v>
      </c>
      <c r="S107" s="33">
        <v>0.33</v>
      </c>
      <c r="T107" s="37">
        <f t="shared" si="3"/>
        <v>104.47761194029852</v>
      </c>
      <c r="U107" s="37">
        <f t="shared" si="4"/>
        <v>105.78358208955224</v>
      </c>
      <c r="V107" s="35" t="s">
        <v>79</v>
      </c>
      <c r="W107" s="35">
        <v>15</v>
      </c>
      <c r="X107" s="35" t="s">
        <v>80</v>
      </c>
      <c r="AD107" s="36">
        <v>195018675972</v>
      </c>
      <c r="AN107" s="35">
        <v>30</v>
      </c>
      <c r="AO107" s="35" t="s">
        <v>81</v>
      </c>
    </row>
    <row r="108" spans="1:41" s="35" customFormat="1" ht="45" x14ac:dyDescent="0.25">
      <c r="A108" s="36">
        <v>195018675750</v>
      </c>
      <c r="B108" s="35" t="s">
        <v>71</v>
      </c>
      <c r="C108" s="35" t="s">
        <v>72</v>
      </c>
      <c r="D108" s="35" t="s">
        <v>360</v>
      </c>
      <c r="E108" s="35" t="s">
        <v>361</v>
      </c>
      <c r="F108" s="35">
        <v>316210</v>
      </c>
      <c r="G108" s="35" t="s">
        <v>262</v>
      </c>
      <c r="H108" s="39" t="s">
        <v>362</v>
      </c>
      <c r="J108" s="35" t="s">
        <v>77</v>
      </c>
      <c r="M108" s="35">
        <v>140</v>
      </c>
      <c r="P108" s="35" t="s">
        <v>78</v>
      </c>
      <c r="Q108" s="56">
        <v>127.27272727272727</v>
      </c>
      <c r="R108" s="35">
        <v>70</v>
      </c>
      <c r="S108" s="33">
        <v>0.33</v>
      </c>
      <c r="T108" s="37">
        <f t="shared" si="3"/>
        <v>104.47761194029852</v>
      </c>
      <c r="U108" s="37">
        <f t="shared" si="4"/>
        <v>105.78358208955224</v>
      </c>
      <c r="V108" s="35" t="s">
        <v>79</v>
      </c>
      <c r="W108" s="35">
        <v>15</v>
      </c>
      <c r="X108" s="35" t="s">
        <v>80</v>
      </c>
      <c r="AD108" s="36">
        <v>195018675750</v>
      </c>
      <c r="AN108" s="35">
        <v>30</v>
      </c>
      <c r="AO108" s="35" t="s">
        <v>81</v>
      </c>
    </row>
    <row r="109" spans="1:41" s="35" customFormat="1" ht="45" x14ac:dyDescent="0.25">
      <c r="A109" s="36">
        <v>195018675989</v>
      </c>
      <c r="B109" s="35" t="s">
        <v>71</v>
      </c>
      <c r="C109" s="35" t="s">
        <v>72</v>
      </c>
      <c r="D109" s="35" t="s">
        <v>363</v>
      </c>
      <c r="E109" s="35" t="s">
        <v>364</v>
      </c>
      <c r="F109" s="35">
        <v>316210</v>
      </c>
      <c r="G109" s="35" t="s">
        <v>262</v>
      </c>
      <c r="H109" s="39" t="s">
        <v>365</v>
      </c>
      <c r="J109" s="35" t="s">
        <v>77</v>
      </c>
      <c r="M109" s="35">
        <v>140</v>
      </c>
      <c r="P109" s="35" t="s">
        <v>78</v>
      </c>
      <c r="Q109" s="56">
        <v>127.27272727272727</v>
      </c>
      <c r="R109" s="35">
        <v>70</v>
      </c>
      <c r="S109" s="33">
        <v>0.33</v>
      </c>
      <c r="T109" s="37">
        <f t="shared" si="3"/>
        <v>104.47761194029852</v>
      </c>
      <c r="U109" s="37">
        <f t="shared" si="4"/>
        <v>105.78358208955224</v>
      </c>
      <c r="V109" s="35" t="s">
        <v>79</v>
      </c>
      <c r="W109" s="35">
        <v>15</v>
      </c>
      <c r="X109" s="35" t="s">
        <v>80</v>
      </c>
      <c r="AD109" s="36">
        <v>195018675989</v>
      </c>
      <c r="AN109" s="35">
        <v>30</v>
      </c>
      <c r="AO109" s="35" t="s">
        <v>81</v>
      </c>
    </row>
    <row r="110" spans="1:41" s="35" customFormat="1" ht="45" x14ac:dyDescent="0.25">
      <c r="A110" s="36">
        <v>195018675767</v>
      </c>
      <c r="B110" s="35" t="s">
        <v>71</v>
      </c>
      <c r="C110" s="35" t="s">
        <v>72</v>
      </c>
      <c r="D110" s="35" t="s">
        <v>366</v>
      </c>
      <c r="E110" s="35" t="s">
        <v>367</v>
      </c>
      <c r="F110" s="35">
        <v>316210</v>
      </c>
      <c r="G110" s="35" t="s">
        <v>262</v>
      </c>
      <c r="H110" s="39" t="s">
        <v>368</v>
      </c>
      <c r="J110" s="35" t="s">
        <v>77</v>
      </c>
      <c r="M110" s="35">
        <v>140</v>
      </c>
      <c r="P110" s="35" t="s">
        <v>78</v>
      </c>
      <c r="Q110" s="56">
        <v>127.27272727272727</v>
      </c>
      <c r="R110" s="35">
        <v>70</v>
      </c>
      <c r="S110" s="33">
        <v>0.33</v>
      </c>
      <c r="T110" s="37">
        <f t="shared" si="3"/>
        <v>104.47761194029852</v>
      </c>
      <c r="U110" s="37">
        <f t="shared" si="4"/>
        <v>105.78358208955224</v>
      </c>
      <c r="V110" s="35" t="s">
        <v>79</v>
      </c>
      <c r="W110" s="35">
        <v>15</v>
      </c>
      <c r="X110" s="35" t="s">
        <v>80</v>
      </c>
      <c r="AD110" s="36">
        <v>195018675767</v>
      </c>
      <c r="AN110" s="35">
        <v>30</v>
      </c>
      <c r="AO110" s="35" t="s">
        <v>81</v>
      </c>
    </row>
    <row r="111" spans="1:41" ht="90" x14ac:dyDescent="0.25">
      <c r="A111" s="2">
        <v>194713697449</v>
      </c>
      <c r="B111" t="s">
        <v>71</v>
      </c>
      <c r="C111" t="s">
        <v>72</v>
      </c>
      <c r="D111" t="s">
        <v>369</v>
      </c>
      <c r="E111" t="s">
        <v>370</v>
      </c>
      <c r="F111">
        <v>316210</v>
      </c>
      <c r="G111" s="35" t="s">
        <v>371</v>
      </c>
      <c r="H111" s="31" t="s">
        <v>372</v>
      </c>
      <c r="J111" t="s">
        <v>77</v>
      </c>
      <c r="M111">
        <v>120</v>
      </c>
      <c r="P111" t="s">
        <v>78</v>
      </c>
      <c r="Q111" s="55">
        <v>107.27272727272727</v>
      </c>
      <c r="R111" s="32">
        <v>59</v>
      </c>
      <c r="S111" s="33">
        <v>0.33</v>
      </c>
      <c r="T111" s="34">
        <f t="shared" si="3"/>
        <v>88.059701492537329</v>
      </c>
      <c r="U111" s="34">
        <f t="shared" si="4"/>
        <v>89.160447761194035</v>
      </c>
      <c r="V111" t="s">
        <v>79</v>
      </c>
      <c r="W111" s="32">
        <v>15</v>
      </c>
      <c r="X111" s="32" t="s">
        <v>80</v>
      </c>
      <c r="AD111" s="1">
        <v>194713697449</v>
      </c>
      <c r="AN111">
        <v>30</v>
      </c>
      <c r="AO111" t="s">
        <v>81</v>
      </c>
    </row>
    <row r="112" spans="1:41" ht="90" x14ac:dyDescent="0.25">
      <c r="A112" s="2">
        <v>194713793929</v>
      </c>
      <c r="B112" t="s">
        <v>71</v>
      </c>
      <c r="C112" t="s">
        <v>72</v>
      </c>
      <c r="D112" t="s">
        <v>373</v>
      </c>
      <c r="E112" t="s">
        <v>374</v>
      </c>
      <c r="F112">
        <v>316210</v>
      </c>
      <c r="G112" s="35" t="s">
        <v>371</v>
      </c>
      <c r="H112" s="31" t="s">
        <v>375</v>
      </c>
      <c r="J112" t="s">
        <v>77</v>
      </c>
      <c r="M112">
        <v>120</v>
      </c>
      <c r="P112" t="s">
        <v>78</v>
      </c>
      <c r="Q112" s="55">
        <v>107.27272727272727</v>
      </c>
      <c r="R112" s="32">
        <v>59</v>
      </c>
      <c r="S112" s="33">
        <v>0.33</v>
      </c>
      <c r="T112" s="34">
        <f t="shared" si="3"/>
        <v>88.059701492537329</v>
      </c>
      <c r="U112" s="34">
        <f t="shared" si="4"/>
        <v>89.160447761194035</v>
      </c>
      <c r="V112" t="s">
        <v>79</v>
      </c>
      <c r="W112" s="32">
        <v>15</v>
      </c>
      <c r="X112" s="32" t="s">
        <v>80</v>
      </c>
      <c r="AD112" s="1">
        <v>194713793929</v>
      </c>
      <c r="AN112">
        <v>30</v>
      </c>
      <c r="AO112" t="s">
        <v>81</v>
      </c>
    </row>
    <row r="113" spans="1:41" ht="90" x14ac:dyDescent="0.25">
      <c r="A113" s="2">
        <v>194713697456</v>
      </c>
      <c r="B113" t="s">
        <v>71</v>
      </c>
      <c r="C113" t="s">
        <v>72</v>
      </c>
      <c r="D113" t="s">
        <v>376</v>
      </c>
      <c r="E113" t="s">
        <v>377</v>
      </c>
      <c r="F113">
        <v>316210</v>
      </c>
      <c r="G113" s="35" t="s">
        <v>371</v>
      </c>
      <c r="H113" s="31" t="s">
        <v>378</v>
      </c>
      <c r="J113" t="s">
        <v>77</v>
      </c>
      <c r="M113">
        <v>120</v>
      </c>
      <c r="P113" t="s">
        <v>78</v>
      </c>
      <c r="Q113" s="55">
        <v>107.27272727272727</v>
      </c>
      <c r="R113" s="32">
        <v>59</v>
      </c>
      <c r="S113" s="33">
        <v>0.33</v>
      </c>
      <c r="T113" s="34">
        <f t="shared" si="3"/>
        <v>88.059701492537329</v>
      </c>
      <c r="U113" s="34">
        <f t="shared" si="4"/>
        <v>89.160447761194035</v>
      </c>
      <c r="V113" t="s">
        <v>79</v>
      </c>
      <c r="W113" s="32">
        <v>15</v>
      </c>
      <c r="X113" s="32" t="s">
        <v>80</v>
      </c>
      <c r="AD113" s="1">
        <v>194713697456</v>
      </c>
      <c r="AN113">
        <v>30</v>
      </c>
      <c r="AO113" t="s">
        <v>81</v>
      </c>
    </row>
    <row r="114" spans="1:41" ht="90" x14ac:dyDescent="0.25">
      <c r="A114" s="2">
        <v>194713793936</v>
      </c>
      <c r="B114" t="s">
        <v>71</v>
      </c>
      <c r="C114" t="s">
        <v>72</v>
      </c>
      <c r="D114" t="s">
        <v>379</v>
      </c>
      <c r="E114" t="s">
        <v>380</v>
      </c>
      <c r="F114">
        <v>316210</v>
      </c>
      <c r="G114" s="35" t="s">
        <v>371</v>
      </c>
      <c r="H114" s="31" t="s">
        <v>381</v>
      </c>
      <c r="J114" t="s">
        <v>77</v>
      </c>
      <c r="M114">
        <v>120</v>
      </c>
      <c r="P114" t="s">
        <v>78</v>
      </c>
      <c r="Q114" s="55">
        <v>107.27272727272727</v>
      </c>
      <c r="R114" s="32">
        <v>59</v>
      </c>
      <c r="S114" s="33">
        <v>0.33</v>
      </c>
      <c r="T114" s="34">
        <f t="shared" si="3"/>
        <v>88.059701492537329</v>
      </c>
      <c r="U114" s="34">
        <f t="shared" si="4"/>
        <v>89.160447761194035</v>
      </c>
      <c r="V114" t="s">
        <v>79</v>
      </c>
      <c r="W114" s="32">
        <v>15</v>
      </c>
      <c r="X114" s="32" t="s">
        <v>80</v>
      </c>
      <c r="AD114" s="1">
        <v>194713793936</v>
      </c>
      <c r="AN114">
        <v>30</v>
      </c>
      <c r="AO114" t="s">
        <v>81</v>
      </c>
    </row>
    <row r="115" spans="1:41" ht="90" x14ac:dyDescent="0.25">
      <c r="A115" s="2">
        <v>194713697463</v>
      </c>
      <c r="B115" t="s">
        <v>71</v>
      </c>
      <c r="C115" t="s">
        <v>72</v>
      </c>
      <c r="D115" t="s">
        <v>382</v>
      </c>
      <c r="E115" t="s">
        <v>383</v>
      </c>
      <c r="F115">
        <v>316210</v>
      </c>
      <c r="G115" s="35" t="s">
        <v>371</v>
      </c>
      <c r="H115" s="31" t="s">
        <v>384</v>
      </c>
      <c r="J115" t="s">
        <v>77</v>
      </c>
      <c r="M115">
        <v>120</v>
      </c>
      <c r="P115" t="s">
        <v>78</v>
      </c>
      <c r="Q115" s="55">
        <v>107.27272727272727</v>
      </c>
      <c r="R115" s="32">
        <v>59</v>
      </c>
      <c r="S115" s="33">
        <v>0.33</v>
      </c>
      <c r="T115" s="34">
        <f t="shared" si="3"/>
        <v>88.059701492537329</v>
      </c>
      <c r="U115" s="34">
        <f t="shared" si="4"/>
        <v>89.160447761194035</v>
      </c>
      <c r="V115" t="s">
        <v>79</v>
      </c>
      <c r="W115" s="32">
        <v>15</v>
      </c>
      <c r="X115" s="32" t="s">
        <v>80</v>
      </c>
      <c r="AD115" s="1">
        <v>194713697463</v>
      </c>
      <c r="AN115">
        <v>30</v>
      </c>
      <c r="AO115" t="s">
        <v>81</v>
      </c>
    </row>
    <row r="116" spans="1:41" ht="90" x14ac:dyDescent="0.25">
      <c r="A116" s="2">
        <v>194713793943</v>
      </c>
      <c r="B116" t="s">
        <v>71</v>
      </c>
      <c r="C116" t="s">
        <v>72</v>
      </c>
      <c r="D116" t="s">
        <v>385</v>
      </c>
      <c r="E116" t="s">
        <v>386</v>
      </c>
      <c r="F116">
        <v>316210</v>
      </c>
      <c r="G116" s="35" t="s">
        <v>371</v>
      </c>
      <c r="H116" s="31" t="s">
        <v>387</v>
      </c>
      <c r="J116" t="s">
        <v>77</v>
      </c>
      <c r="M116">
        <v>120</v>
      </c>
      <c r="P116" t="s">
        <v>78</v>
      </c>
      <c r="Q116" s="55">
        <v>107.27272727272727</v>
      </c>
      <c r="R116" s="32">
        <v>59</v>
      </c>
      <c r="S116" s="33">
        <v>0.33</v>
      </c>
      <c r="T116" s="34">
        <f t="shared" si="3"/>
        <v>88.059701492537329</v>
      </c>
      <c r="U116" s="34">
        <f t="shared" si="4"/>
        <v>89.160447761194035</v>
      </c>
      <c r="V116" t="s">
        <v>79</v>
      </c>
      <c r="W116" s="32">
        <v>15</v>
      </c>
      <c r="X116" s="32" t="s">
        <v>80</v>
      </c>
      <c r="AD116" s="1">
        <v>194713793943</v>
      </c>
      <c r="AN116">
        <v>30</v>
      </c>
      <c r="AO116" t="s">
        <v>81</v>
      </c>
    </row>
    <row r="117" spans="1:41" ht="90" x14ac:dyDescent="0.25">
      <c r="A117" s="2">
        <v>194713697470</v>
      </c>
      <c r="B117" t="s">
        <v>71</v>
      </c>
      <c r="C117" t="s">
        <v>72</v>
      </c>
      <c r="D117" t="s">
        <v>388</v>
      </c>
      <c r="E117" t="s">
        <v>389</v>
      </c>
      <c r="F117">
        <v>316210</v>
      </c>
      <c r="G117" s="35" t="s">
        <v>371</v>
      </c>
      <c r="H117" s="31" t="s">
        <v>390</v>
      </c>
      <c r="J117" t="s">
        <v>77</v>
      </c>
      <c r="M117">
        <v>120</v>
      </c>
      <c r="P117" t="s">
        <v>78</v>
      </c>
      <c r="Q117" s="55">
        <v>107.27272727272727</v>
      </c>
      <c r="R117" s="32">
        <v>59</v>
      </c>
      <c r="S117" s="33">
        <v>0.33</v>
      </c>
      <c r="T117" s="34">
        <f t="shared" si="3"/>
        <v>88.059701492537329</v>
      </c>
      <c r="U117" s="34">
        <f t="shared" si="4"/>
        <v>89.160447761194035</v>
      </c>
      <c r="V117" t="s">
        <v>79</v>
      </c>
      <c r="W117" s="32">
        <v>15</v>
      </c>
      <c r="X117" s="32" t="s">
        <v>80</v>
      </c>
      <c r="AD117" s="1">
        <v>194713697470</v>
      </c>
      <c r="AN117">
        <v>30</v>
      </c>
      <c r="AO117" t="s">
        <v>81</v>
      </c>
    </row>
    <row r="118" spans="1:41" ht="90" x14ac:dyDescent="0.25">
      <c r="A118" s="2">
        <v>194713793950</v>
      </c>
      <c r="B118" t="s">
        <v>71</v>
      </c>
      <c r="C118" t="s">
        <v>72</v>
      </c>
      <c r="D118" t="s">
        <v>391</v>
      </c>
      <c r="E118" t="s">
        <v>392</v>
      </c>
      <c r="F118">
        <v>316210</v>
      </c>
      <c r="G118" s="35" t="s">
        <v>371</v>
      </c>
      <c r="H118" s="31" t="s">
        <v>393</v>
      </c>
      <c r="J118" t="s">
        <v>77</v>
      </c>
      <c r="M118">
        <v>120</v>
      </c>
      <c r="P118" t="s">
        <v>78</v>
      </c>
      <c r="Q118" s="55">
        <v>107.27272727272727</v>
      </c>
      <c r="R118" s="32">
        <v>59</v>
      </c>
      <c r="S118" s="33">
        <v>0.33</v>
      </c>
      <c r="T118" s="34">
        <f t="shared" si="3"/>
        <v>88.059701492537329</v>
      </c>
      <c r="U118" s="34">
        <f t="shared" si="4"/>
        <v>89.160447761194035</v>
      </c>
      <c r="V118" t="s">
        <v>79</v>
      </c>
      <c r="W118" s="32">
        <v>15</v>
      </c>
      <c r="X118" s="32" t="s">
        <v>80</v>
      </c>
      <c r="AD118" s="1">
        <v>194713793950</v>
      </c>
      <c r="AN118">
        <v>30</v>
      </c>
      <c r="AO118" t="s">
        <v>81</v>
      </c>
    </row>
    <row r="119" spans="1:41" ht="90" x14ac:dyDescent="0.25">
      <c r="A119" s="2">
        <v>194713697487</v>
      </c>
      <c r="B119" t="s">
        <v>71</v>
      </c>
      <c r="C119" t="s">
        <v>72</v>
      </c>
      <c r="D119" t="s">
        <v>394</v>
      </c>
      <c r="E119" t="s">
        <v>395</v>
      </c>
      <c r="F119">
        <v>316210</v>
      </c>
      <c r="G119" s="35" t="s">
        <v>371</v>
      </c>
      <c r="H119" s="31" t="s">
        <v>396</v>
      </c>
      <c r="J119" t="s">
        <v>77</v>
      </c>
      <c r="M119">
        <v>120</v>
      </c>
      <c r="P119" t="s">
        <v>78</v>
      </c>
      <c r="Q119" s="55">
        <v>107.27272727272727</v>
      </c>
      <c r="R119" s="32">
        <v>59</v>
      </c>
      <c r="S119" s="33">
        <v>0.33</v>
      </c>
      <c r="T119" s="34">
        <f t="shared" si="3"/>
        <v>88.059701492537329</v>
      </c>
      <c r="U119" s="34">
        <f t="shared" si="4"/>
        <v>89.160447761194035</v>
      </c>
      <c r="V119" t="s">
        <v>79</v>
      </c>
      <c r="W119" s="32">
        <v>15</v>
      </c>
      <c r="X119" s="32" t="s">
        <v>80</v>
      </c>
      <c r="AD119" s="1">
        <v>194713697487</v>
      </c>
      <c r="AN119">
        <v>30</v>
      </c>
      <c r="AO119" t="s">
        <v>81</v>
      </c>
    </row>
    <row r="120" spans="1:41" ht="90" x14ac:dyDescent="0.25">
      <c r="A120" s="2">
        <v>194713793967</v>
      </c>
      <c r="B120" t="s">
        <v>71</v>
      </c>
      <c r="C120" t="s">
        <v>72</v>
      </c>
      <c r="D120" t="s">
        <v>397</v>
      </c>
      <c r="E120" t="s">
        <v>398</v>
      </c>
      <c r="F120">
        <v>316210</v>
      </c>
      <c r="G120" s="35" t="s">
        <v>371</v>
      </c>
      <c r="H120" s="31" t="s">
        <v>399</v>
      </c>
      <c r="J120" t="s">
        <v>77</v>
      </c>
      <c r="M120">
        <v>120</v>
      </c>
      <c r="P120" t="s">
        <v>78</v>
      </c>
      <c r="Q120" s="55">
        <v>107.27272727272727</v>
      </c>
      <c r="R120" s="32">
        <v>59</v>
      </c>
      <c r="S120" s="33">
        <v>0.33</v>
      </c>
      <c r="T120" s="34">
        <f t="shared" si="3"/>
        <v>88.059701492537329</v>
      </c>
      <c r="U120" s="34">
        <f t="shared" si="4"/>
        <v>89.160447761194035</v>
      </c>
      <c r="V120" t="s">
        <v>79</v>
      </c>
      <c r="W120" s="32">
        <v>15</v>
      </c>
      <c r="X120" s="32" t="s">
        <v>80</v>
      </c>
      <c r="AD120" s="1">
        <v>194713793967</v>
      </c>
      <c r="AN120">
        <v>30</v>
      </c>
      <c r="AO120" t="s">
        <v>81</v>
      </c>
    </row>
    <row r="121" spans="1:41" ht="90" x14ac:dyDescent="0.25">
      <c r="A121" s="2">
        <v>194713697494</v>
      </c>
      <c r="B121" t="s">
        <v>71</v>
      </c>
      <c r="C121" t="s">
        <v>72</v>
      </c>
      <c r="D121" t="s">
        <v>400</v>
      </c>
      <c r="E121" t="s">
        <v>401</v>
      </c>
      <c r="F121">
        <v>316210</v>
      </c>
      <c r="G121" s="35" t="s">
        <v>371</v>
      </c>
      <c r="H121" s="31" t="s">
        <v>402</v>
      </c>
      <c r="J121" t="s">
        <v>77</v>
      </c>
      <c r="M121">
        <v>120</v>
      </c>
      <c r="P121" t="s">
        <v>78</v>
      </c>
      <c r="Q121" s="55">
        <v>107.27272727272727</v>
      </c>
      <c r="R121" s="32">
        <v>59</v>
      </c>
      <c r="S121" s="33">
        <v>0.33</v>
      </c>
      <c r="T121" s="34">
        <f t="shared" si="3"/>
        <v>88.059701492537329</v>
      </c>
      <c r="U121" s="34">
        <f t="shared" si="4"/>
        <v>89.160447761194035</v>
      </c>
      <c r="V121" t="s">
        <v>79</v>
      </c>
      <c r="W121" s="32">
        <v>15</v>
      </c>
      <c r="X121" s="32" t="s">
        <v>80</v>
      </c>
      <c r="AD121" s="1">
        <v>194713697494</v>
      </c>
      <c r="AN121">
        <v>30</v>
      </c>
      <c r="AO121" t="s">
        <v>81</v>
      </c>
    </row>
    <row r="122" spans="1:41" ht="90" x14ac:dyDescent="0.25">
      <c r="A122" s="2">
        <v>194713793974</v>
      </c>
      <c r="B122" t="s">
        <v>71</v>
      </c>
      <c r="C122" t="s">
        <v>72</v>
      </c>
      <c r="D122" t="s">
        <v>403</v>
      </c>
      <c r="E122" t="s">
        <v>404</v>
      </c>
      <c r="F122">
        <v>316210</v>
      </c>
      <c r="G122" s="35" t="s">
        <v>371</v>
      </c>
      <c r="H122" s="31" t="s">
        <v>405</v>
      </c>
      <c r="J122" t="s">
        <v>77</v>
      </c>
      <c r="M122">
        <v>120</v>
      </c>
      <c r="P122" t="s">
        <v>78</v>
      </c>
      <c r="Q122" s="55">
        <v>107.27272727272727</v>
      </c>
      <c r="R122" s="32">
        <v>59</v>
      </c>
      <c r="S122" s="33">
        <v>0.33</v>
      </c>
      <c r="T122" s="34">
        <f t="shared" si="3"/>
        <v>88.059701492537329</v>
      </c>
      <c r="U122" s="34">
        <f t="shared" si="4"/>
        <v>89.160447761194035</v>
      </c>
      <c r="V122" t="s">
        <v>79</v>
      </c>
      <c r="W122" s="32">
        <v>15</v>
      </c>
      <c r="X122" s="32" t="s">
        <v>80</v>
      </c>
      <c r="AD122" s="1">
        <v>194713793974</v>
      </c>
      <c r="AN122">
        <v>30</v>
      </c>
      <c r="AO122" t="s">
        <v>81</v>
      </c>
    </row>
    <row r="123" spans="1:41" ht="90" x14ac:dyDescent="0.25">
      <c r="A123" s="2">
        <v>194713697500</v>
      </c>
      <c r="B123" t="s">
        <v>71</v>
      </c>
      <c r="C123" t="s">
        <v>72</v>
      </c>
      <c r="D123" t="s">
        <v>406</v>
      </c>
      <c r="E123" t="s">
        <v>407</v>
      </c>
      <c r="F123">
        <v>316210</v>
      </c>
      <c r="G123" s="35" t="s">
        <v>371</v>
      </c>
      <c r="H123" s="31" t="s">
        <v>408</v>
      </c>
      <c r="J123" t="s">
        <v>77</v>
      </c>
      <c r="M123">
        <v>120</v>
      </c>
      <c r="P123" t="s">
        <v>78</v>
      </c>
      <c r="Q123" s="55">
        <v>107.27272727272727</v>
      </c>
      <c r="R123" s="32">
        <v>59</v>
      </c>
      <c r="S123" s="33">
        <v>0.33</v>
      </c>
      <c r="T123" s="34">
        <f t="shared" si="3"/>
        <v>88.059701492537329</v>
      </c>
      <c r="U123" s="34">
        <f t="shared" si="4"/>
        <v>89.160447761194035</v>
      </c>
      <c r="V123" t="s">
        <v>79</v>
      </c>
      <c r="W123" s="32">
        <v>15</v>
      </c>
      <c r="X123" s="32" t="s">
        <v>80</v>
      </c>
      <c r="AD123" s="1">
        <v>194713697500</v>
      </c>
      <c r="AN123">
        <v>30</v>
      </c>
      <c r="AO123" t="s">
        <v>81</v>
      </c>
    </row>
    <row r="124" spans="1:41" ht="90" x14ac:dyDescent="0.25">
      <c r="A124" s="2">
        <v>194713793981</v>
      </c>
      <c r="B124" t="s">
        <v>71</v>
      </c>
      <c r="C124" t="s">
        <v>72</v>
      </c>
      <c r="D124" t="s">
        <v>409</v>
      </c>
      <c r="E124" t="s">
        <v>410</v>
      </c>
      <c r="F124">
        <v>316210</v>
      </c>
      <c r="G124" s="35" t="s">
        <v>371</v>
      </c>
      <c r="H124" s="31" t="s">
        <v>411</v>
      </c>
      <c r="J124" t="s">
        <v>77</v>
      </c>
      <c r="M124">
        <v>120</v>
      </c>
      <c r="P124" t="s">
        <v>78</v>
      </c>
      <c r="Q124" s="55">
        <v>107.27272727272727</v>
      </c>
      <c r="R124" s="32">
        <v>59</v>
      </c>
      <c r="S124" s="33">
        <v>0.33</v>
      </c>
      <c r="T124" s="34">
        <f t="shared" si="3"/>
        <v>88.059701492537329</v>
      </c>
      <c r="U124" s="34">
        <f t="shared" si="4"/>
        <v>89.160447761194035</v>
      </c>
      <c r="V124" t="s">
        <v>79</v>
      </c>
      <c r="W124" s="32">
        <v>15</v>
      </c>
      <c r="X124" s="32" t="s">
        <v>80</v>
      </c>
      <c r="AD124" s="1">
        <v>194713793981</v>
      </c>
      <c r="AN124">
        <v>30</v>
      </c>
      <c r="AO124" t="s">
        <v>81</v>
      </c>
    </row>
    <row r="125" spans="1:41" ht="90" x14ac:dyDescent="0.25">
      <c r="A125" s="2">
        <v>194713697517</v>
      </c>
      <c r="B125" t="s">
        <v>71</v>
      </c>
      <c r="C125" t="s">
        <v>72</v>
      </c>
      <c r="D125" t="s">
        <v>412</v>
      </c>
      <c r="E125" t="s">
        <v>413</v>
      </c>
      <c r="F125">
        <v>316210</v>
      </c>
      <c r="G125" s="35" t="s">
        <v>371</v>
      </c>
      <c r="H125" s="31" t="s">
        <v>414</v>
      </c>
      <c r="J125" t="s">
        <v>77</v>
      </c>
      <c r="M125">
        <v>120</v>
      </c>
      <c r="P125" t="s">
        <v>78</v>
      </c>
      <c r="Q125" s="55">
        <v>107.27272727272727</v>
      </c>
      <c r="R125" s="32">
        <v>59</v>
      </c>
      <c r="S125" s="33">
        <v>0.33</v>
      </c>
      <c r="T125" s="34">
        <f t="shared" si="3"/>
        <v>88.059701492537329</v>
      </c>
      <c r="U125" s="34">
        <f t="shared" si="4"/>
        <v>89.160447761194035</v>
      </c>
      <c r="V125" t="s">
        <v>79</v>
      </c>
      <c r="W125" s="32">
        <v>15</v>
      </c>
      <c r="X125" s="32" t="s">
        <v>80</v>
      </c>
      <c r="AD125" s="1">
        <v>194713697517</v>
      </c>
      <c r="AN125">
        <v>30</v>
      </c>
      <c r="AO125" t="s">
        <v>81</v>
      </c>
    </row>
    <row r="126" spans="1:41" ht="90" x14ac:dyDescent="0.25">
      <c r="A126" s="2">
        <v>194713793998</v>
      </c>
      <c r="B126" t="s">
        <v>71</v>
      </c>
      <c r="C126" t="s">
        <v>72</v>
      </c>
      <c r="D126" t="s">
        <v>415</v>
      </c>
      <c r="E126" t="s">
        <v>416</v>
      </c>
      <c r="F126">
        <v>316210</v>
      </c>
      <c r="G126" s="35" t="s">
        <v>371</v>
      </c>
      <c r="H126" s="31" t="s">
        <v>417</v>
      </c>
      <c r="J126" t="s">
        <v>77</v>
      </c>
      <c r="M126">
        <v>120</v>
      </c>
      <c r="P126" t="s">
        <v>78</v>
      </c>
      <c r="Q126" s="55">
        <v>107.27272727272727</v>
      </c>
      <c r="R126" s="32">
        <v>59</v>
      </c>
      <c r="S126" s="33">
        <v>0.33</v>
      </c>
      <c r="T126" s="34">
        <f t="shared" si="3"/>
        <v>88.059701492537329</v>
      </c>
      <c r="U126" s="34">
        <f t="shared" si="4"/>
        <v>89.160447761194035</v>
      </c>
      <c r="V126" t="s">
        <v>79</v>
      </c>
      <c r="W126" s="32">
        <v>15</v>
      </c>
      <c r="X126" s="32" t="s">
        <v>80</v>
      </c>
      <c r="AD126" s="1">
        <v>194713793998</v>
      </c>
      <c r="AN126">
        <v>30</v>
      </c>
      <c r="AO126" t="s">
        <v>81</v>
      </c>
    </row>
    <row r="127" spans="1:41" ht="90" x14ac:dyDescent="0.25">
      <c r="A127" s="2">
        <v>194713697524</v>
      </c>
      <c r="B127" t="s">
        <v>71</v>
      </c>
      <c r="C127" t="s">
        <v>72</v>
      </c>
      <c r="D127" t="s">
        <v>418</v>
      </c>
      <c r="E127" t="s">
        <v>419</v>
      </c>
      <c r="F127">
        <v>316210</v>
      </c>
      <c r="G127" s="35" t="s">
        <v>371</v>
      </c>
      <c r="H127" s="31" t="s">
        <v>420</v>
      </c>
      <c r="J127" t="s">
        <v>77</v>
      </c>
      <c r="M127">
        <v>120</v>
      </c>
      <c r="P127" t="s">
        <v>78</v>
      </c>
      <c r="Q127" s="55">
        <v>107.27272727272727</v>
      </c>
      <c r="R127" s="32">
        <v>59</v>
      </c>
      <c r="S127" s="33">
        <v>0.33</v>
      </c>
      <c r="T127" s="34">
        <f t="shared" si="3"/>
        <v>88.059701492537329</v>
      </c>
      <c r="U127" s="34">
        <f t="shared" si="4"/>
        <v>89.160447761194035</v>
      </c>
      <c r="V127" t="s">
        <v>79</v>
      </c>
      <c r="W127" s="32">
        <v>15</v>
      </c>
      <c r="X127" s="32" t="s">
        <v>80</v>
      </c>
      <c r="AD127" s="1">
        <v>194713697524</v>
      </c>
      <c r="AN127">
        <v>30</v>
      </c>
      <c r="AO127" t="s">
        <v>81</v>
      </c>
    </row>
    <row r="128" spans="1:41" ht="90" x14ac:dyDescent="0.25">
      <c r="A128" s="2">
        <v>194713794001</v>
      </c>
      <c r="B128" t="s">
        <v>71</v>
      </c>
      <c r="C128" t="s">
        <v>72</v>
      </c>
      <c r="D128" t="s">
        <v>421</v>
      </c>
      <c r="E128" t="s">
        <v>422</v>
      </c>
      <c r="F128">
        <v>316210</v>
      </c>
      <c r="G128" s="35" t="s">
        <v>371</v>
      </c>
      <c r="H128" s="31" t="s">
        <v>423</v>
      </c>
      <c r="J128" t="s">
        <v>77</v>
      </c>
      <c r="M128">
        <v>120</v>
      </c>
      <c r="P128" t="s">
        <v>78</v>
      </c>
      <c r="Q128" s="55">
        <v>107.27272727272727</v>
      </c>
      <c r="R128" s="32">
        <v>59</v>
      </c>
      <c r="S128" s="33">
        <v>0.33</v>
      </c>
      <c r="T128" s="34">
        <f t="shared" si="3"/>
        <v>88.059701492537329</v>
      </c>
      <c r="U128" s="34">
        <f t="shared" si="4"/>
        <v>89.160447761194035</v>
      </c>
      <c r="V128" t="s">
        <v>79</v>
      </c>
      <c r="W128" s="32">
        <v>15</v>
      </c>
      <c r="X128" s="32" t="s">
        <v>80</v>
      </c>
      <c r="AD128" s="1">
        <v>194713794001</v>
      </c>
      <c r="AN128">
        <v>30</v>
      </c>
      <c r="AO128" t="s">
        <v>81</v>
      </c>
    </row>
    <row r="129" spans="1:41" ht="90" x14ac:dyDescent="0.25">
      <c r="A129" s="2">
        <v>194713697531</v>
      </c>
      <c r="B129" t="s">
        <v>71</v>
      </c>
      <c r="C129" t="s">
        <v>72</v>
      </c>
      <c r="D129" t="s">
        <v>424</v>
      </c>
      <c r="E129" t="s">
        <v>425</v>
      </c>
      <c r="F129">
        <v>316210</v>
      </c>
      <c r="G129" s="35" t="s">
        <v>371</v>
      </c>
      <c r="H129" s="31" t="s">
        <v>426</v>
      </c>
      <c r="J129" t="s">
        <v>77</v>
      </c>
      <c r="M129">
        <v>120</v>
      </c>
      <c r="P129" t="s">
        <v>78</v>
      </c>
      <c r="Q129" s="55">
        <v>107.27272727272727</v>
      </c>
      <c r="R129" s="32">
        <v>59</v>
      </c>
      <c r="S129" s="33">
        <v>0.33</v>
      </c>
      <c r="T129" s="34">
        <f t="shared" si="3"/>
        <v>88.059701492537329</v>
      </c>
      <c r="U129" s="34">
        <f t="shared" si="4"/>
        <v>89.160447761194035</v>
      </c>
      <c r="V129" t="s">
        <v>79</v>
      </c>
      <c r="W129" s="32">
        <v>15</v>
      </c>
      <c r="X129" s="32" t="s">
        <v>80</v>
      </c>
      <c r="AD129" s="1">
        <v>194713697531</v>
      </c>
      <c r="AN129">
        <v>30</v>
      </c>
      <c r="AO129" t="s">
        <v>81</v>
      </c>
    </row>
    <row r="130" spans="1:41" ht="90" x14ac:dyDescent="0.25">
      <c r="A130" s="2">
        <v>194713794018</v>
      </c>
      <c r="B130" t="s">
        <v>71</v>
      </c>
      <c r="C130" t="s">
        <v>72</v>
      </c>
      <c r="D130" t="s">
        <v>427</v>
      </c>
      <c r="E130" t="s">
        <v>428</v>
      </c>
      <c r="F130">
        <v>316210</v>
      </c>
      <c r="G130" s="35" t="s">
        <v>371</v>
      </c>
      <c r="H130" s="31" t="s">
        <v>429</v>
      </c>
      <c r="J130" t="s">
        <v>77</v>
      </c>
      <c r="M130">
        <v>120</v>
      </c>
      <c r="P130" t="s">
        <v>78</v>
      </c>
      <c r="Q130" s="55">
        <v>107.27272727272727</v>
      </c>
      <c r="R130" s="32">
        <v>59</v>
      </c>
      <c r="S130" s="33">
        <v>0.33</v>
      </c>
      <c r="T130" s="34">
        <f t="shared" si="3"/>
        <v>88.059701492537329</v>
      </c>
      <c r="U130" s="34">
        <f t="shared" si="4"/>
        <v>89.160447761194035</v>
      </c>
      <c r="V130" t="s">
        <v>79</v>
      </c>
      <c r="W130" s="32">
        <v>15</v>
      </c>
      <c r="X130" s="32" t="s">
        <v>80</v>
      </c>
      <c r="AD130" s="1">
        <v>194713794018</v>
      </c>
      <c r="AN130">
        <v>30</v>
      </c>
      <c r="AO130" t="s">
        <v>81</v>
      </c>
    </row>
    <row r="131" spans="1:41" ht="90" x14ac:dyDescent="0.25">
      <c r="A131" s="2">
        <v>194713697548</v>
      </c>
      <c r="B131" t="s">
        <v>71</v>
      </c>
      <c r="C131" t="s">
        <v>72</v>
      </c>
      <c r="D131" t="s">
        <v>430</v>
      </c>
      <c r="E131" t="s">
        <v>431</v>
      </c>
      <c r="F131">
        <v>316210</v>
      </c>
      <c r="G131" s="35" t="s">
        <v>371</v>
      </c>
      <c r="H131" s="31" t="s">
        <v>432</v>
      </c>
      <c r="J131" t="s">
        <v>77</v>
      </c>
      <c r="M131">
        <v>120</v>
      </c>
      <c r="P131" t="s">
        <v>78</v>
      </c>
      <c r="Q131" s="55">
        <v>107.27272727272727</v>
      </c>
      <c r="R131" s="32">
        <v>59</v>
      </c>
      <c r="S131" s="33">
        <v>0.33</v>
      </c>
      <c r="T131" s="34">
        <f t="shared" si="3"/>
        <v>88.059701492537329</v>
      </c>
      <c r="U131" s="34">
        <f t="shared" si="4"/>
        <v>89.160447761194035</v>
      </c>
      <c r="V131" t="s">
        <v>79</v>
      </c>
      <c r="W131" s="32">
        <v>15</v>
      </c>
      <c r="X131" s="32" t="s">
        <v>80</v>
      </c>
      <c r="AD131" s="1">
        <v>194713697548</v>
      </c>
      <c r="AN131">
        <v>30</v>
      </c>
      <c r="AO131" t="s">
        <v>81</v>
      </c>
    </row>
    <row r="132" spans="1:41" ht="90" x14ac:dyDescent="0.25">
      <c r="A132" s="2">
        <v>194713794025</v>
      </c>
      <c r="B132" t="s">
        <v>71</v>
      </c>
      <c r="C132" t="s">
        <v>72</v>
      </c>
      <c r="D132" t="s">
        <v>433</v>
      </c>
      <c r="E132" t="s">
        <v>434</v>
      </c>
      <c r="F132">
        <v>316210</v>
      </c>
      <c r="G132" s="35" t="s">
        <v>371</v>
      </c>
      <c r="H132" s="31" t="s">
        <v>435</v>
      </c>
      <c r="J132" t="s">
        <v>77</v>
      </c>
      <c r="M132">
        <v>120</v>
      </c>
      <c r="P132" t="s">
        <v>78</v>
      </c>
      <c r="Q132" s="55">
        <v>107.27272727272727</v>
      </c>
      <c r="R132" s="32">
        <v>59</v>
      </c>
      <c r="S132" s="33">
        <v>0.33</v>
      </c>
      <c r="T132" s="34">
        <f t="shared" ref="T132:T195" si="5">R132/(1-S132)</f>
        <v>88.059701492537329</v>
      </c>
      <c r="U132" s="34">
        <f t="shared" ref="U132:U195" si="6">T132*(1+1.25%)</f>
        <v>89.160447761194035</v>
      </c>
      <c r="V132" t="s">
        <v>79</v>
      </c>
      <c r="W132" s="32">
        <v>15</v>
      </c>
      <c r="X132" s="32" t="s">
        <v>80</v>
      </c>
      <c r="AD132" s="1">
        <v>194713794025</v>
      </c>
      <c r="AN132">
        <v>30</v>
      </c>
      <c r="AO132" t="s">
        <v>81</v>
      </c>
    </row>
    <row r="133" spans="1:41" ht="90" x14ac:dyDescent="0.25">
      <c r="A133" s="2">
        <v>194713697555</v>
      </c>
      <c r="B133" t="s">
        <v>71</v>
      </c>
      <c r="C133" t="s">
        <v>72</v>
      </c>
      <c r="D133" t="s">
        <v>436</v>
      </c>
      <c r="E133" t="s">
        <v>437</v>
      </c>
      <c r="F133">
        <v>316210</v>
      </c>
      <c r="G133" s="35" t="s">
        <v>371</v>
      </c>
      <c r="H133" s="31" t="s">
        <v>438</v>
      </c>
      <c r="J133" t="s">
        <v>77</v>
      </c>
      <c r="M133">
        <v>120</v>
      </c>
      <c r="P133" t="s">
        <v>78</v>
      </c>
      <c r="Q133" s="55">
        <v>107.27272727272727</v>
      </c>
      <c r="R133" s="32">
        <v>59</v>
      </c>
      <c r="S133" s="33">
        <v>0.33</v>
      </c>
      <c r="T133" s="34">
        <f t="shared" si="5"/>
        <v>88.059701492537329</v>
      </c>
      <c r="U133" s="34">
        <f t="shared" si="6"/>
        <v>89.160447761194035</v>
      </c>
      <c r="V133" t="s">
        <v>79</v>
      </c>
      <c r="W133" s="32">
        <v>15</v>
      </c>
      <c r="X133" s="32" t="s">
        <v>80</v>
      </c>
      <c r="AD133" s="1">
        <v>194713697555</v>
      </c>
      <c r="AN133">
        <v>30</v>
      </c>
      <c r="AO133" t="s">
        <v>81</v>
      </c>
    </row>
    <row r="134" spans="1:41" ht="90" x14ac:dyDescent="0.25">
      <c r="A134" s="2">
        <v>194713794032</v>
      </c>
      <c r="B134" t="s">
        <v>71</v>
      </c>
      <c r="C134" t="s">
        <v>72</v>
      </c>
      <c r="D134" t="s">
        <v>439</v>
      </c>
      <c r="E134" t="s">
        <v>440</v>
      </c>
      <c r="F134">
        <v>316210</v>
      </c>
      <c r="G134" s="35" t="s">
        <v>371</v>
      </c>
      <c r="H134" s="31" t="s">
        <v>441</v>
      </c>
      <c r="J134" t="s">
        <v>77</v>
      </c>
      <c r="M134">
        <v>120</v>
      </c>
      <c r="P134" t="s">
        <v>78</v>
      </c>
      <c r="Q134" s="55">
        <v>107.27272727272727</v>
      </c>
      <c r="R134" s="32">
        <v>59</v>
      </c>
      <c r="S134" s="33">
        <v>0.33</v>
      </c>
      <c r="T134" s="34">
        <f t="shared" si="5"/>
        <v>88.059701492537329</v>
      </c>
      <c r="U134" s="34">
        <f t="shared" si="6"/>
        <v>89.160447761194035</v>
      </c>
      <c r="V134" t="s">
        <v>79</v>
      </c>
      <c r="W134" s="32">
        <v>15</v>
      </c>
      <c r="X134" s="32" t="s">
        <v>80</v>
      </c>
      <c r="AD134" s="1">
        <v>194713794032</v>
      </c>
      <c r="AN134">
        <v>30</v>
      </c>
      <c r="AO134" t="s">
        <v>81</v>
      </c>
    </row>
    <row r="135" spans="1:41" ht="90" x14ac:dyDescent="0.25">
      <c r="A135" s="2">
        <v>194713697562</v>
      </c>
      <c r="B135" t="s">
        <v>71</v>
      </c>
      <c r="C135" t="s">
        <v>72</v>
      </c>
      <c r="D135" t="s">
        <v>442</v>
      </c>
      <c r="E135" t="s">
        <v>443</v>
      </c>
      <c r="F135">
        <v>316210</v>
      </c>
      <c r="G135" s="35" t="s">
        <v>371</v>
      </c>
      <c r="H135" s="31" t="s">
        <v>444</v>
      </c>
      <c r="J135" t="s">
        <v>77</v>
      </c>
      <c r="M135">
        <v>120</v>
      </c>
      <c r="P135" t="s">
        <v>78</v>
      </c>
      <c r="Q135" s="55">
        <v>107.27272727272727</v>
      </c>
      <c r="R135" s="32">
        <v>59</v>
      </c>
      <c r="S135" s="33">
        <v>0.33</v>
      </c>
      <c r="T135" s="34">
        <f t="shared" si="5"/>
        <v>88.059701492537329</v>
      </c>
      <c r="U135" s="34">
        <f t="shared" si="6"/>
        <v>89.160447761194035</v>
      </c>
      <c r="V135" t="s">
        <v>79</v>
      </c>
      <c r="W135" s="32">
        <v>15</v>
      </c>
      <c r="X135" s="32" t="s">
        <v>80</v>
      </c>
      <c r="AD135" s="1">
        <v>194713697562</v>
      </c>
      <c r="AN135">
        <v>30</v>
      </c>
      <c r="AO135" t="s">
        <v>81</v>
      </c>
    </row>
    <row r="136" spans="1:41" ht="90" x14ac:dyDescent="0.25">
      <c r="A136" s="2">
        <v>194713794049</v>
      </c>
      <c r="B136" t="s">
        <v>71</v>
      </c>
      <c r="C136" t="s">
        <v>72</v>
      </c>
      <c r="D136" t="s">
        <v>445</v>
      </c>
      <c r="E136" t="s">
        <v>446</v>
      </c>
      <c r="F136">
        <v>316210</v>
      </c>
      <c r="G136" s="35" t="s">
        <v>371</v>
      </c>
      <c r="H136" s="31" t="s">
        <v>447</v>
      </c>
      <c r="J136" t="s">
        <v>77</v>
      </c>
      <c r="M136">
        <v>120</v>
      </c>
      <c r="P136" t="s">
        <v>78</v>
      </c>
      <c r="Q136" s="55">
        <v>107.27272727272727</v>
      </c>
      <c r="R136" s="32">
        <v>59</v>
      </c>
      <c r="S136" s="33">
        <v>0.33</v>
      </c>
      <c r="T136" s="34">
        <f t="shared" si="5"/>
        <v>88.059701492537329</v>
      </c>
      <c r="U136" s="34">
        <f t="shared" si="6"/>
        <v>89.160447761194035</v>
      </c>
      <c r="V136" t="s">
        <v>79</v>
      </c>
      <c r="W136" s="32">
        <v>15</v>
      </c>
      <c r="X136" s="32" t="s">
        <v>80</v>
      </c>
      <c r="AD136" s="1">
        <v>194713794049</v>
      </c>
      <c r="AN136">
        <v>30</v>
      </c>
      <c r="AO136" t="s">
        <v>81</v>
      </c>
    </row>
    <row r="137" spans="1:41" ht="90" x14ac:dyDescent="0.25">
      <c r="A137" s="2">
        <v>194713697579</v>
      </c>
      <c r="B137" t="s">
        <v>71</v>
      </c>
      <c r="C137" t="s">
        <v>72</v>
      </c>
      <c r="D137" t="s">
        <v>448</v>
      </c>
      <c r="E137" t="s">
        <v>449</v>
      </c>
      <c r="F137">
        <v>316210</v>
      </c>
      <c r="G137" s="35" t="s">
        <v>371</v>
      </c>
      <c r="H137" s="31" t="s">
        <v>450</v>
      </c>
      <c r="J137" t="s">
        <v>77</v>
      </c>
      <c r="M137">
        <v>120</v>
      </c>
      <c r="P137" t="s">
        <v>78</v>
      </c>
      <c r="Q137" s="55">
        <v>107.27272727272727</v>
      </c>
      <c r="R137" s="32">
        <v>59</v>
      </c>
      <c r="S137" s="33">
        <v>0.33</v>
      </c>
      <c r="T137" s="34">
        <f t="shared" si="5"/>
        <v>88.059701492537329</v>
      </c>
      <c r="U137" s="34">
        <f t="shared" si="6"/>
        <v>89.160447761194035</v>
      </c>
      <c r="V137" t="s">
        <v>79</v>
      </c>
      <c r="W137" s="32">
        <v>15</v>
      </c>
      <c r="X137" s="32" t="s">
        <v>80</v>
      </c>
      <c r="AD137" s="1">
        <v>194713697579</v>
      </c>
      <c r="AN137">
        <v>30</v>
      </c>
      <c r="AO137" t="s">
        <v>81</v>
      </c>
    </row>
    <row r="138" spans="1:41" ht="90" x14ac:dyDescent="0.25">
      <c r="A138" s="2">
        <v>194713698118</v>
      </c>
      <c r="B138" t="s">
        <v>71</v>
      </c>
      <c r="C138" t="s">
        <v>72</v>
      </c>
      <c r="D138" t="s">
        <v>451</v>
      </c>
      <c r="E138" t="s">
        <v>452</v>
      </c>
      <c r="F138">
        <v>316210</v>
      </c>
      <c r="G138" s="35" t="s">
        <v>453</v>
      </c>
      <c r="H138" s="31" t="s">
        <v>454</v>
      </c>
      <c r="J138" t="s">
        <v>77</v>
      </c>
      <c r="M138">
        <v>110</v>
      </c>
      <c r="P138" t="s">
        <v>78</v>
      </c>
      <c r="Q138" s="55">
        <v>98.181818181818173</v>
      </c>
      <c r="R138" s="32">
        <v>54</v>
      </c>
      <c r="S138" s="33">
        <v>0.33</v>
      </c>
      <c r="T138" s="34">
        <f t="shared" si="5"/>
        <v>80.597014925373145</v>
      </c>
      <c r="U138" s="34">
        <f t="shared" si="6"/>
        <v>81.604477611940311</v>
      </c>
      <c r="V138" t="s">
        <v>79</v>
      </c>
      <c r="W138" s="32">
        <v>15</v>
      </c>
      <c r="X138" s="32" t="s">
        <v>80</v>
      </c>
      <c r="AD138" s="1">
        <v>194713698118</v>
      </c>
      <c r="AN138">
        <v>30</v>
      </c>
      <c r="AO138" t="s">
        <v>81</v>
      </c>
    </row>
    <row r="139" spans="1:41" ht="90" x14ac:dyDescent="0.25">
      <c r="A139" s="2">
        <v>194713697982</v>
      </c>
      <c r="B139" t="s">
        <v>71</v>
      </c>
      <c r="C139" t="s">
        <v>72</v>
      </c>
      <c r="D139" t="s">
        <v>455</v>
      </c>
      <c r="E139" t="s">
        <v>456</v>
      </c>
      <c r="F139">
        <v>316210</v>
      </c>
      <c r="G139" s="35" t="s">
        <v>453</v>
      </c>
      <c r="H139" s="31" t="s">
        <v>457</v>
      </c>
      <c r="J139" t="s">
        <v>77</v>
      </c>
      <c r="M139">
        <v>110</v>
      </c>
      <c r="P139" t="s">
        <v>78</v>
      </c>
      <c r="Q139" s="55">
        <v>98.181818181818173</v>
      </c>
      <c r="R139" s="32">
        <v>54</v>
      </c>
      <c r="S139" s="33">
        <v>0.33</v>
      </c>
      <c r="T139" s="34">
        <f t="shared" si="5"/>
        <v>80.597014925373145</v>
      </c>
      <c r="U139" s="34">
        <f t="shared" si="6"/>
        <v>81.604477611940311</v>
      </c>
      <c r="V139" t="s">
        <v>79</v>
      </c>
      <c r="W139" s="32">
        <v>15</v>
      </c>
      <c r="X139" s="32" t="s">
        <v>80</v>
      </c>
      <c r="AD139" s="1">
        <v>194713697982</v>
      </c>
      <c r="AN139">
        <v>30</v>
      </c>
      <c r="AO139" t="s">
        <v>81</v>
      </c>
    </row>
    <row r="140" spans="1:41" ht="90" x14ac:dyDescent="0.25">
      <c r="A140" s="2">
        <v>194713698125</v>
      </c>
      <c r="B140" t="s">
        <v>71</v>
      </c>
      <c r="C140" t="s">
        <v>72</v>
      </c>
      <c r="D140" t="s">
        <v>458</v>
      </c>
      <c r="E140" t="s">
        <v>459</v>
      </c>
      <c r="F140">
        <v>316210</v>
      </c>
      <c r="G140" s="35" t="s">
        <v>453</v>
      </c>
      <c r="H140" s="31" t="s">
        <v>460</v>
      </c>
      <c r="J140" t="s">
        <v>77</v>
      </c>
      <c r="M140">
        <v>110</v>
      </c>
      <c r="P140" t="s">
        <v>78</v>
      </c>
      <c r="Q140" s="55">
        <v>98.181818181818173</v>
      </c>
      <c r="R140" s="32">
        <v>54</v>
      </c>
      <c r="S140" s="33">
        <v>0.33</v>
      </c>
      <c r="T140" s="34">
        <f t="shared" si="5"/>
        <v>80.597014925373145</v>
      </c>
      <c r="U140" s="34">
        <f t="shared" si="6"/>
        <v>81.604477611940311</v>
      </c>
      <c r="V140" t="s">
        <v>79</v>
      </c>
      <c r="W140" s="32">
        <v>15</v>
      </c>
      <c r="X140" s="32" t="s">
        <v>80</v>
      </c>
      <c r="AD140" s="1">
        <v>194713698125</v>
      </c>
      <c r="AN140">
        <v>30</v>
      </c>
      <c r="AO140" t="s">
        <v>81</v>
      </c>
    </row>
    <row r="141" spans="1:41" ht="90" x14ac:dyDescent="0.25">
      <c r="A141" s="2">
        <v>194713697999</v>
      </c>
      <c r="B141" t="s">
        <v>71</v>
      </c>
      <c r="C141" t="s">
        <v>72</v>
      </c>
      <c r="D141" t="s">
        <v>461</v>
      </c>
      <c r="E141" t="s">
        <v>462</v>
      </c>
      <c r="F141">
        <v>316210</v>
      </c>
      <c r="G141" s="35" t="s">
        <v>453</v>
      </c>
      <c r="H141" s="31" t="s">
        <v>463</v>
      </c>
      <c r="J141" t="s">
        <v>77</v>
      </c>
      <c r="M141">
        <v>110</v>
      </c>
      <c r="P141" t="s">
        <v>78</v>
      </c>
      <c r="Q141" s="55">
        <v>98.181818181818173</v>
      </c>
      <c r="R141" s="32">
        <v>54</v>
      </c>
      <c r="S141" s="33">
        <v>0.33</v>
      </c>
      <c r="T141" s="34">
        <f t="shared" si="5"/>
        <v>80.597014925373145</v>
      </c>
      <c r="U141" s="34">
        <f t="shared" si="6"/>
        <v>81.604477611940311</v>
      </c>
      <c r="V141" t="s">
        <v>79</v>
      </c>
      <c r="W141" s="32">
        <v>15</v>
      </c>
      <c r="X141" s="32" t="s">
        <v>80</v>
      </c>
      <c r="AD141" s="1">
        <v>194713697999</v>
      </c>
      <c r="AN141">
        <v>30</v>
      </c>
      <c r="AO141" t="s">
        <v>81</v>
      </c>
    </row>
    <row r="142" spans="1:41" ht="90" x14ac:dyDescent="0.25">
      <c r="A142" s="2">
        <v>194713698132</v>
      </c>
      <c r="B142" t="s">
        <v>71</v>
      </c>
      <c r="C142" t="s">
        <v>72</v>
      </c>
      <c r="D142" t="s">
        <v>464</v>
      </c>
      <c r="E142" t="s">
        <v>465</v>
      </c>
      <c r="F142">
        <v>316210</v>
      </c>
      <c r="G142" s="35" t="s">
        <v>453</v>
      </c>
      <c r="H142" s="31" t="s">
        <v>466</v>
      </c>
      <c r="J142" t="s">
        <v>77</v>
      </c>
      <c r="M142">
        <v>110</v>
      </c>
      <c r="P142" t="s">
        <v>78</v>
      </c>
      <c r="Q142" s="55">
        <v>98.181818181818173</v>
      </c>
      <c r="R142" s="32">
        <v>54</v>
      </c>
      <c r="S142" s="33">
        <v>0.33</v>
      </c>
      <c r="T142" s="34">
        <f t="shared" si="5"/>
        <v>80.597014925373145</v>
      </c>
      <c r="U142" s="34">
        <f t="shared" si="6"/>
        <v>81.604477611940311</v>
      </c>
      <c r="V142" t="s">
        <v>79</v>
      </c>
      <c r="W142" s="32">
        <v>15</v>
      </c>
      <c r="X142" s="32" t="s">
        <v>80</v>
      </c>
      <c r="AD142" s="1">
        <v>194713698132</v>
      </c>
      <c r="AN142">
        <v>30</v>
      </c>
      <c r="AO142" t="s">
        <v>81</v>
      </c>
    </row>
    <row r="143" spans="1:41" ht="90" x14ac:dyDescent="0.25">
      <c r="A143" s="2">
        <v>194713698002</v>
      </c>
      <c r="B143" t="s">
        <v>71</v>
      </c>
      <c r="C143" t="s">
        <v>72</v>
      </c>
      <c r="D143" t="s">
        <v>467</v>
      </c>
      <c r="E143" t="s">
        <v>468</v>
      </c>
      <c r="F143">
        <v>316210</v>
      </c>
      <c r="G143" s="35" t="s">
        <v>453</v>
      </c>
      <c r="H143" s="31" t="s">
        <v>469</v>
      </c>
      <c r="J143" t="s">
        <v>77</v>
      </c>
      <c r="M143">
        <v>110</v>
      </c>
      <c r="P143" t="s">
        <v>78</v>
      </c>
      <c r="Q143" s="55">
        <v>98.181818181818173</v>
      </c>
      <c r="R143" s="32">
        <v>54</v>
      </c>
      <c r="S143" s="33">
        <v>0.33</v>
      </c>
      <c r="T143" s="34">
        <f t="shared" si="5"/>
        <v>80.597014925373145</v>
      </c>
      <c r="U143" s="34">
        <f t="shared" si="6"/>
        <v>81.604477611940311</v>
      </c>
      <c r="V143" t="s">
        <v>79</v>
      </c>
      <c r="W143" s="32">
        <v>15</v>
      </c>
      <c r="X143" s="32" t="s">
        <v>80</v>
      </c>
      <c r="AD143" s="1">
        <v>194713698002</v>
      </c>
      <c r="AN143">
        <v>30</v>
      </c>
      <c r="AO143" t="s">
        <v>81</v>
      </c>
    </row>
    <row r="144" spans="1:41" ht="90" x14ac:dyDescent="0.25">
      <c r="A144" s="2">
        <v>194713698149</v>
      </c>
      <c r="B144" t="s">
        <v>71</v>
      </c>
      <c r="C144" t="s">
        <v>72</v>
      </c>
      <c r="D144" t="s">
        <v>470</v>
      </c>
      <c r="E144" t="s">
        <v>471</v>
      </c>
      <c r="F144">
        <v>316210</v>
      </c>
      <c r="G144" s="35" t="s">
        <v>453</v>
      </c>
      <c r="H144" s="31" t="s">
        <v>472</v>
      </c>
      <c r="J144" t="s">
        <v>77</v>
      </c>
      <c r="M144">
        <v>110</v>
      </c>
      <c r="P144" t="s">
        <v>78</v>
      </c>
      <c r="Q144" s="55">
        <v>98.181818181818173</v>
      </c>
      <c r="R144" s="32">
        <v>54</v>
      </c>
      <c r="S144" s="33">
        <v>0.33</v>
      </c>
      <c r="T144" s="34">
        <f t="shared" si="5"/>
        <v>80.597014925373145</v>
      </c>
      <c r="U144" s="34">
        <f t="shared" si="6"/>
        <v>81.604477611940311</v>
      </c>
      <c r="V144" t="s">
        <v>79</v>
      </c>
      <c r="W144" s="32">
        <v>15</v>
      </c>
      <c r="X144" s="32" t="s">
        <v>80</v>
      </c>
      <c r="AD144" s="1">
        <v>194713698149</v>
      </c>
      <c r="AN144">
        <v>30</v>
      </c>
      <c r="AO144" t="s">
        <v>81</v>
      </c>
    </row>
    <row r="145" spans="1:41" ht="90" x14ac:dyDescent="0.25">
      <c r="A145" s="2">
        <v>194713698019</v>
      </c>
      <c r="B145" t="s">
        <v>71</v>
      </c>
      <c r="C145" t="s">
        <v>72</v>
      </c>
      <c r="D145" t="s">
        <v>473</v>
      </c>
      <c r="E145" t="s">
        <v>474</v>
      </c>
      <c r="F145">
        <v>316210</v>
      </c>
      <c r="G145" s="35" t="s">
        <v>453</v>
      </c>
      <c r="H145" s="31" t="s">
        <v>475</v>
      </c>
      <c r="J145" t="s">
        <v>77</v>
      </c>
      <c r="M145">
        <v>110</v>
      </c>
      <c r="P145" t="s">
        <v>78</v>
      </c>
      <c r="Q145" s="55">
        <v>98.181818181818173</v>
      </c>
      <c r="R145" s="32">
        <v>54</v>
      </c>
      <c r="S145" s="33">
        <v>0.33</v>
      </c>
      <c r="T145" s="34">
        <f t="shared" si="5"/>
        <v>80.597014925373145</v>
      </c>
      <c r="U145" s="34">
        <f t="shared" si="6"/>
        <v>81.604477611940311</v>
      </c>
      <c r="V145" t="s">
        <v>79</v>
      </c>
      <c r="W145" s="32">
        <v>15</v>
      </c>
      <c r="X145" s="32" t="s">
        <v>80</v>
      </c>
      <c r="AD145" s="1">
        <v>194713698019</v>
      </c>
      <c r="AN145">
        <v>30</v>
      </c>
      <c r="AO145" t="s">
        <v>81</v>
      </c>
    </row>
    <row r="146" spans="1:41" ht="90" x14ac:dyDescent="0.25">
      <c r="A146" s="2">
        <v>194713698156</v>
      </c>
      <c r="B146" t="s">
        <v>71</v>
      </c>
      <c r="C146" t="s">
        <v>72</v>
      </c>
      <c r="D146" t="s">
        <v>476</v>
      </c>
      <c r="E146" t="s">
        <v>477</v>
      </c>
      <c r="F146">
        <v>316210</v>
      </c>
      <c r="G146" s="35" t="s">
        <v>453</v>
      </c>
      <c r="H146" s="31" t="s">
        <v>478</v>
      </c>
      <c r="J146" t="s">
        <v>77</v>
      </c>
      <c r="M146">
        <v>110</v>
      </c>
      <c r="P146" t="s">
        <v>78</v>
      </c>
      <c r="Q146" s="55">
        <v>98.181818181818173</v>
      </c>
      <c r="R146" s="32">
        <v>54</v>
      </c>
      <c r="S146" s="33">
        <v>0.33</v>
      </c>
      <c r="T146" s="34">
        <f t="shared" si="5"/>
        <v>80.597014925373145</v>
      </c>
      <c r="U146" s="34">
        <f t="shared" si="6"/>
        <v>81.604477611940311</v>
      </c>
      <c r="V146" t="s">
        <v>79</v>
      </c>
      <c r="W146" s="32">
        <v>15</v>
      </c>
      <c r="X146" s="32" t="s">
        <v>80</v>
      </c>
      <c r="AD146" s="1">
        <v>194713698156</v>
      </c>
      <c r="AN146">
        <v>30</v>
      </c>
      <c r="AO146" t="s">
        <v>81</v>
      </c>
    </row>
    <row r="147" spans="1:41" ht="90" x14ac:dyDescent="0.25">
      <c r="A147" s="2">
        <v>194713698026</v>
      </c>
      <c r="B147" t="s">
        <v>71</v>
      </c>
      <c r="C147" t="s">
        <v>72</v>
      </c>
      <c r="D147" t="s">
        <v>479</v>
      </c>
      <c r="E147" t="s">
        <v>480</v>
      </c>
      <c r="F147">
        <v>316210</v>
      </c>
      <c r="G147" s="35" t="s">
        <v>453</v>
      </c>
      <c r="H147" s="31" t="s">
        <v>481</v>
      </c>
      <c r="J147" t="s">
        <v>77</v>
      </c>
      <c r="M147">
        <v>110</v>
      </c>
      <c r="P147" t="s">
        <v>78</v>
      </c>
      <c r="Q147" s="55">
        <v>98.181818181818173</v>
      </c>
      <c r="R147" s="32">
        <v>54</v>
      </c>
      <c r="S147" s="33">
        <v>0.33</v>
      </c>
      <c r="T147" s="34">
        <f t="shared" si="5"/>
        <v>80.597014925373145</v>
      </c>
      <c r="U147" s="34">
        <f t="shared" si="6"/>
        <v>81.604477611940311</v>
      </c>
      <c r="V147" t="s">
        <v>79</v>
      </c>
      <c r="W147" s="32">
        <v>15</v>
      </c>
      <c r="X147" s="32" t="s">
        <v>80</v>
      </c>
      <c r="AD147" s="1">
        <v>194713698026</v>
      </c>
      <c r="AN147">
        <v>30</v>
      </c>
      <c r="AO147" t="s">
        <v>81</v>
      </c>
    </row>
    <row r="148" spans="1:41" ht="90" x14ac:dyDescent="0.25">
      <c r="A148" s="2">
        <v>194713698163</v>
      </c>
      <c r="B148" t="s">
        <v>71</v>
      </c>
      <c r="C148" t="s">
        <v>72</v>
      </c>
      <c r="D148" t="s">
        <v>482</v>
      </c>
      <c r="E148" t="s">
        <v>483</v>
      </c>
      <c r="F148">
        <v>316210</v>
      </c>
      <c r="G148" s="35" t="s">
        <v>453</v>
      </c>
      <c r="H148" s="31" t="s">
        <v>484</v>
      </c>
      <c r="J148" t="s">
        <v>77</v>
      </c>
      <c r="M148">
        <v>110</v>
      </c>
      <c r="P148" t="s">
        <v>78</v>
      </c>
      <c r="Q148" s="55">
        <v>98.181818181818173</v>
      </c>
      <c r="R148" s="32">
        <v>54</v>
      </c>
      <c r="S148" s="33">
        <v>0.33</v>
      </c>
      <c r="T148" s="34">
        <f t="shared" si="5"/>
        <v>80.597014925373145</v>
      </c>
      <c r="U148" s="34">
        <f t="shared" si="6"/>
        <v>81.604477611940311</v>
      </c>
      <c r="V148" t="s">
        <v>79</v>
      </c>
      <c r="W148" s="32">
        <v>15</v>
      </c>
      <c r="X148" s="32" t="s">
        <v>80</v>
      </c>
      <c r="AD148" s="1">
        <v>194713698163</v>
      </c>
      <c r="AN148">
        <v>30</v>
      </c>
      <c r="AO148" t="s">
        <v>81</v>
      </c>
    </row>
    <row r="149" spans="1:41" ht="90" x14ac:dyDescent="0.25">
      <c r="A149" s="2">
        <v>194713698033</v>
      </c>
      <c r="B149" t="s">
        <v>71</v>
      </c>
      <c r="C149" t="s">
        <v>72</v>
      </c>
      <c r="D149" t="s">
        <v>485</v>
      </c>
      <c r="E149" t="s">
        <v>486</v>
      </c>
      <c r="F149">
        <v>316210</v>
      </c>
      <c r="G149" s="35" t="s">
        <v>453</v>
      </c>
      <c r="H149" s="31" t="s">
        <v>487</v>
      </c>
      <c r="J149" t="s">
        <v>77</v>
      </c>
      <c r="M149">
        <v>110</v>
      </c>
      <c r="P149" t="s">
        <v>78</v>
      </c>
      <c r="Q149" s="55">
        <v>98.181818181818173</v>
      </c>
      <c r="R149" s="32">
        <v>54</v>
      </c>
      <c r="S149" s="33">
        <v>0.33</v>
      </c>
      <c r="T149" s="34">
        <f t="shared" si="5"/>
        <v>80.597014925373145</v>
      </c>
      <c r="U149" s="34">
        <f t="shared" si="6"/>
        <v>81.604477611940311</v>
      </c>
      <c r="V149" t="s">
        <v>79</v>
      </c>
      <c r="W149" s="32">
        <v>15</v>
      </c>
      <c r="X149" s="32" t="s">
        <v>80</v>
      </c>
      <c r="AD149" s="1">
        <v>194713698033</v>
      </c>
      <c r="AN149">
        <v>30</v>
      </c>
      <c r="AO149" t="s">
        <v>81</v>
      </c>
    </row>
    <row r="150" spans="1:41" ht="90" x14ac:dyDescent="0.25">
      <c r="A150" s="2">
        <v>194713698170</v>
      </c>
      <c r="B150" t="s">
        <v>71</v>
      </c>
      <c r="C150" t="s">
        <v>72</v>
      </c>
      <c r="D150" t="s">
        <v>488</v>
      </c>
      <c r="E150" t="s">
        <v>489</v>
      </c>
      <c r="F150">
        <v>316210</v>
      </c>
      <c r="G150" s="35" t="s">
        <v>453</v>
      </c>
      <c r="H150" s="31" t="s">
        <v>490</v>
      </c>
      <c r="J150" t="s">
        <v>77</v>
      </c>
      <c r="M150">
        <v>110</v>
      </c>
      <c r="P150" t="s">
        <v>78</v>
      </c>
      <c r="Q150" s="55">
        <v>98.181818181818173</v>
      </c>
      <c r="R150" s="32">
        <v>54</v>
      </c>
      <c r="S150" s="33">
        <v>0.33</v>
      </c>
      <c r="T150" s="34">
        <f t="shared" si="5"/>
        <v>80.597014925373145</v>
      </c>
      <c r="U150" s="34">
        <f t="shared" si="6"/>
        <v>81.604477611940311</v>
      </c>
      <c r="V150" t="s">
        <v>79</v>
      </c>
      <c r="W150" s="32">
        <v>15</v>
      </c>
      <c r="X150" s="32" t="s">
        <v>80</v>
      </c>
      <c r="AD150" s="1">
        <v>194713698170</v>
      </c>
      <c r="AN150">
        <v>30</v>
      </c>
      <c r="AO150" t="s">
        <v>81</v>
      </c>
    </row>
    <row r="151" spans="1:41" ht="90" x14ac:dyDescent="0.25">
      <c r="A151" s="2">
        <v>194713698040</v>
      </c>
      <c r="B151" t="s">
        <v>71</v>
      </c>
      <c r="C151" t="s">
        <v>72</v>
      </c>
      <c r="D151" t="s">
        <v>491</v>
      </c>
      <c r="E151" t="s">
        <v>492</v>
      </c>
      <c r="F151">
        <v>316210</v>
      </c>
      <c r="G151" s="35" t="s">
        <v>453</v>
      </c>
      <c r="H151" s="31" t="s">
        <v>493</v>
      </c>
      <c r="J151" t="s">
        <v>77</v>
      </c>
      <c r="M151">
        <v>110</v>
      </c>
      <c r="P151" t="s">
        <v>78</v>
      </c>
      <c r="Q151" s="55">
        <v>98.181818181818173</v>
      </c>
      <c r="R151" s="32">
        <v>54</v>
      </c>
      <c r="S151" s="33">
        <v>0.33</v>
      </c>
      <c r="T151" s="34">
        <f t="shared" si="5"/>
        <v>80.597014925373145</v>
      </c>
      <c r="U151" s="34">
        <f t="shared" si="6"/>
        <v>81.604477611940311</v>
      </c>
      <c r="V151" t="s">
        <v>79</v>
      </c>
      <c r="W151" s="32">
        <v>15</v>
      </c>
      <c r="X151" s="32" t="s">
        <v>80</v>
      </c>
      <c r="AD151" s="1">
        <v>194713698040</v>
      </c>
      <c r="AN151">
        <v>30</v>
      </c>
      <c r="AO151" t="s">
        <v>81</v>
      </c>
    </row>
    <row r="152" spans="1:41" ht="90" x14ac:dyDescent="0.25">
      <c r="A152" s="2">
        <v>194713698187</v>
      </c>
      <c r="B152" t="s">
        <v>71</v>
      </c>
      <c r="C152" t="s">
        <v>72</v>
      </c>
      <c r="D152" t="s">
        <v>494</v>
      </c>
      <c r="E152" t="s">
        <v>495</v>
      </c>
      <c r="F152">
        <v>316210</v>
      </c>
      <c r="G152" s="35" t="s">
        <v>453</v>
      </c>
      <c r="H152" s="31" t="s">
        <v>496</v>
      </c>
      <c r="J152" t="s">
        <v>77</v>
      </c>
      <c r="M152">
        <v>110</v>
      </c>
      <c r="P152" t="s">
        <v>78</v>
      </c>
      <c r="Q152" s="55">
        <v>98.181818181818173</v>
      </c>
      <c r="R152" s="32">
        <v>54</v>
      </c>
      <c r="S152" s="33">
        <v>0.33</v>
      </c>
      <c r="T152" s="34">
        <f t="shared" si="5"/>
        <v>80.597014925373145</v>
      </c>
      <c r="U152" s="34">
        <f t="shared" si="6"/>
        <v>81.604477611940311</v>
      </c>
      <c r="V152" t="s">
        <v>79</v>
      </c>
      <c r="W152" s="32">
        <v>15</v>
      </c>
      <c r="X152" s="32" t="s">
        <v>80</v>
      </c>
      <c r="AD152" s="1">
        <v>194713698187</v>
      </c>
      <c r="AN152">
        <v>30</v>
      </c>
      <c r="AO152" t="s">
        <v>81</v>
      </c>
    </row>
    <row r="153" spans="1:41" ht="90" x14ac:dyDescent="0.25">
      <c r="A153" s="2">
        <v>194713698057</v>
      </c>
      <c r="B153" t="s">
        <v>71</v>
      </c>
      <c r="C153" t="s">
        <v>72</v>
      </c>
      <c r="D153" t="s">
        <v>497</v>
      </c>
      <c r="E153" t="s">
        <v>498</v>
      </c>
      <c r="F153">
        <v>316210</v>
      </c>
      <c r="G153" s="35" t="s">
        <v>453</v>
      </c>
      <c r="H153" s="31" t="s">
        <v>499</v>
      </c>
      <c r="J153" t="s">
        <v>77</v>
      </c>
      <c r="M153">
        <v>110</v>
      </c>
      <c r="P153" t="s">
        <v>78</v>
      </c>
      <c r="Q153" s="55">
        <v>98.181818181818173</v>
      </c>
      <c r="R153" s="32">
        <v>54</v>
      </c>
      <c r="S153" s="33">
        <v>0.33</v>
      </c>
      <c r="T153" s="34">
        <f t="shared" si="5"/>
        <v>80.597014925373145</v>
      </c>
      <c r="U153" s="34">
        <f t="shared" si="6"/>
        <v>81.604477611940311</v>
      </c>
      <c r="V153" t="s">
        <v>79</v>
      </c>
      <c r="W153" s="32">
        <v>15</v>
      </c>
      <c r="X153" s="32" t="s">
        <v>80</v>
      </c>
      <c r="AD153" s="1">
        <v>194713698057</v>
      </c>
      <c r="AN153">
        <v>30</v>
      </c>
      <c r="AO153" t="s">
        <v>81</v>
      </c>
    </row>
    <row r="154" spans="1:41" ht="90" x14ac:dyDescent="0.25">
      <c r="A154" s="2">
        <v>194713698194</v>
      </c>
      <c r="B154" t="s">
        <v>71</v>
      </c>
      <c r="C154" t="s">
        <v>72</v>
      </c>
      <c r="D154" t="s">
        <v>500</v>
      </c>
      <c r="E154" t="s">
        <v>501</v>
      </c>
      <c r="F154">
        <v>316210</v>
      </c>
      <c r="G154" s="35" t="s">
        <v>453</v>
      </c>
      <c r="H154" s="31" t="s">
        <v>502</v>
      </c>
      <c r="J154" t="s">
        <v>77</v>
      </c>
      <c r="M154">
        <v>110</v>
      </c>
      <c r="P154" t="s">
        <v>78</v>
      </c>
      <c r="Q154" s="55">
        <v>98.181818181818173</v>
      </c>
      <c r="R154" s="32">
        <v>54</v>
      </c>
      <c r="S154" s="33">
        <v>0.33</v>
      </c>
      <c r="T154" s="34">
        <f t="shared" si="5"/>
        <v>80.597014925373145</v>
      </c>
      <c r="U154" s="34">
        <f t="shared" si="6"/>
        <v>81.604477611940311</v>
      </c>
      <c r="V154" t="s">
        <v>79</v>
      </c>
      <c r="W154" s="32">
        <v>15</v>
      </c>
      <c r="X154" s="32" t="s">
        <v>80</v>
      </c>
      <c r="AD154" s="1">
        <v>194713698194</v>
      </c>
      <c r="AN154">
        <v>30</v>
      </c>
      <c r="AO154" t="s">
        <v>81</v>
      </c>
    </row>
    <row r="155" spans="1:41" ht="90" x14ac:dyDescent="0.25">
      <c r="A155" s="2">
        <v>194713698064</v>
      </c>
      <c r="B155" t="s">
        <v>71</v>
      </c>
      <c r="C155" t="s">
        <v>72</v>
      </c>
      <c r="D155" t="s">
        <v>503</v>
      </c>
      <c r="E155" t="s">
        <v>504</v>
      </c>
      <c r="F155">
        <v>316210</v>
      </c>
      <c r="G155" s="35" t="s">
        <v>453</v>
      </c>
      <c r="H155" s="31" t="s">
        <v>505</v>
      </c>
      <c r="J155" t="s">
        <v>77</v>
      </c>
      <c r="M155">
        <v>110</v>
      </c>
      <c r="P155" t="s">
        <v>78</v>
      </c>
      <c r="Q155" s="55">
        <v>98.181818181818173</v>
      </c>
      <c r="R155" s="32">
        <v>54</v>
      </c>
      <c r="S155" s="33">
        <v>0.33</v>
      </c>
      <c r="T155" s="34">
        <f t="shared" si="5"/>
        <v>80.597014925373145</v>
      </c>
      <c r="U155" s="34">
        <f t="shared" si="6"/>
        <v>81.604477611940311</v>
      </c>
      <c r="V155" t="s">
        <v>79</v>
      </c>
      <c r="W155" s="32">
        <v>15</v>
      </c>
      <c r="X155" s="32" t="s">
        <v>80</v>
      </c>
      <c r="AD155" s="1">
        <v>194713698064</v>
      </c>
      <c r="AN155">
        <v>30</v>
      </c>
      <c r="AO155" t="s">
        <v>81</v>
      </c>
    </row>
    <row r="156" spans="1:41" ht="90" x14ac:dyDescent="0.25">
      <c r="A156" s="2">
        <v>194713698200</v>
      </c>
      <c r="B156" t="s">
        <v>71</v>
      </c>
      <c r="C156" t="s">
        <v>72</v>
      </c>
      <c r="D156" t="s">
        <v>506</v>
      </c>
      <c r="E156" t="s">
        <v>507</v>
      </c>
      <c r="F156">
        <v>316210</v>
      </c>
      <c r="G156" s="35" t="s">
        <v>453</v>
      </c>
      <c r="H156" s="31" t="s">
        <v>508</v>
      </c>
      <c r="J156" t="s">
        <v>77</v>
      </c>
      <c r="M156">
        <v>110</v>
      </c>
      <c r="P156" t="s">
        <v>78</v>
      </c>
      <c r="Q156" s="55">
        <v>98.181818181818173</v>
      </c>
      <c r="R156" s="32">
        <v>54</v>
      </c>
      <c r="S156" s="33">
        <v>0.33</v>
      </c>
      <c r="T156" s="34">
        <f t="shared" si="5"/>
        <v>80.597014925373145</v>
      </c>
      <c r="U156" s="34">
        <f t="shared" si="6"/>
        <v>81.604477611940311</v>
      </c>
      <c r="V156" t="s">
        <v>79</v>
      </c>
      <c r="W156" s="32">
        <v>15</v>
      </c>
      <c r="X156" s="32" t="s">
        <v>80</v>
      </c>
      <c r="AD156" s="1">
        <v>194713698200</v>
      </c>
      <c r="AN156">
        <v>30</v>
      </c>
      <c r="AO156" t="s">
        <v>81</v>
      </c>
    </row>
    <row r="157" spans="1:41" ht="90" x14ac:dyDescent="0.25">
      <c r="A157" s="2">
        <v>194713698071</v>
      </c>
      <c r="B157" t="s">
        <v>71</v>
      </c>
      <c r="C157" t="s">
        <v>72</v>
      </c>
      <c r="D157" t="s">
        <v>509</v>
      </c>
      <c r="E157" t="s">
        <v>510</v>
      </c>
      <c r="F157">
        <v>316210</v>
      </c>
      <c r="G157" s="35" t="s">
        <v>453</v>
      </c>
      <c r="H157" s="31" t="s">
        <v>511</v>
      </c>
      <c r="J157" t="s">
        <v>77</v>
      </c>
      <c r="M157">
        <v>110</v>
      </c>
      <c r="P157" t="s">
        <v>78</v>
      </c>
      <c r="Q157" s="55">
        <v>98.181818181818173</v>
      </c>
      <c r="R157" s="32">
        <v>54</v>
      </c>
      <c r="S157" s="33">
        <v>0.33</v>
      </c>
      <c r="T157" s="34">
        <f t="shared" si="5"/>
        <v>80.597014925373145</v>
      </c>
      <c r="U157" s="34">
        <f t="shared" si="6"/>
        <v>81.604477611940311</v>
      </c>
      <c r="V157" t="s">
        <v>79</v>
      </c>
      <c r="W157" s="32">
        <v>15</v>
      </c>
      <c r="X157" s="32" t="s">
        <v>80</v>
      </c>
      <c r="AD157" s="1">
        <v>194713698071</v>
      </c>
      <c r="AN157">
        <v>30</v>
      </c>
      <c r="AO157" t="s">
        <v>81</v>
      </c>
    </row>
    <row r="158" spans="1:41" ht="90" x14ac:dyDescent="0.25">
      <c r="A158" s="2">
        <v>194713698217</v>
      </c>
      <c r="B158" t="s">
        <v>71</v>
      </c>
      <c r="C158" t="s">
        <v>72</v>
      </c>
      <c r="D158" t="s">
        <v>512</v>
      </c>
      <c r="E158" t="s">
        <v>513</v>
      </c>
      <c r="F158">
        <v>316210</v>
      </c>
      <c r="G158" s="35" t="s">
        <v>453</v>
      </c>
      <c r="H158" s="31" t="s">
        <v>514</v>
      </c>
      <c r="J158" t="s">
        <v>77</v>
      </c>
      <c r="M158">
        <v>110</v>
      </c>
      <c r="P158" t="s">
        <v>78</v>
      </c>
      <c r="Q158" s="55">
        <v>98.181818181818173</v>
      </c>
      <c r="R158" s="32">
        <v>54</v>
      </c>
      <c r="S158" s="33">
        <v>0.33</v>
      </c>
      <c r="T158" s="34">
        <f t="shared" si="5"/>
        <v>80.597014925373145</v>
      </c>
      <c r="U158" s="34">
        <f t="shared" si="6"/>
        <v>81.604477611940311</v>
      </c>
      <c r="V158" t="s">
        <v>79</v>
      </c>
      <c r="W158" s="32">
        <v>15</v>
      </c>
      <c r="X158" s="32" t="s">
        <v>80</v>
      </c>
      <c r="AD158" s="1">
        <v>194713698217</v>
      </c>
      <c r="AN158">
        <v>30</v>
      </c>
      <c r="AO158" t="s">
        <v>81</v>
      </c>
    </row>
    <row r="159" spans="1:41" ht="90" x14ac:dyDescent="0.25">
      <c r="A159" s="2">
        <v>194713698088</v>
      </c>
      <c r="B159" t="s">
        <v>71</v>
      </c>
      <c r="C159" t="s">
        <v>72</v>
      </c>
      <c r="D159" t="s">
        <v>515</v>
      </c>
      <c r="E159" t="s">
        <v>516</v>
      </c>
      <c r="F159">
        <v>316210</v>
      </c>
      <c r="G159" s="35" t="s">
        <v>453</v>
      </c>
      <c r="H159" s="31" t="s">
        <v>517</v>
      </c>
      <c r="J159" t="s">
        <v>77</v>
      </c>
      <c r="M159">
        <v>110</v>
      </c>
      <c r="P159" t="s">
        <v>78</v>
      </c>
      <c r="Q159" s="55">
        <v>98.181818181818173</v>
      </c>
      <c r="R159" s="32">
        <v>54</v>
      </c>
      <c r="S159" s="33">
        <v>0.33</v>
      </c>
      <c r="T159" s="34">
        <f t="shared" si="5"/>
        <v>80.597014925373145</v>
      </c>
      <c r="U159" s="34">
        <f t="shared" si="6"/>
        <v>81.604477611940311</v>
      </c>
      <c r="V159" t="s">
        <v>79</v>
      </c>
      <c r="W159" s="32">
        <v>15</v>
      </c>
      <c r="X159" s="32" t="s">
        <v>80</v>
      </c>
      <c r="AD159" s="1">
        <v>194713698088</v>
      </c>
      <c r="AN159">
        <v>30</v>
      </c>
      <c r="AO159" t="s">
        <v>81</v>
      </c>
    </row>
    <row r="160" spans="1:41" ht="90" x14ac:dyDescent="0.25">
      <c r="A160" s="2">
        <v>194713698224</v>
      </c>
      <c r="B160" t="s">
        <v>71</v>
      </c>
      <c r="C160" t="s">
        <v>72</v>
      </c>
      <c r="D160" t="s">
        <v>518</v>
      </c>
      <c r="E160" t="s">
        <v>519</v>
      </c>
      <c r="F160">
        <v>316210</v>
      </c>
      <c r="G160" s="35" t="s">
        <v>453</v>
      </c>
      <c r="H160" s="31" t="s">
        <v>520</v>
      </c>
      <c r="J160" t="s">
        <v>77</v>
      </c>
      <c r="M160">
        <v>110</v>
      </c>
      <c r="P160" t="s">
        <v>78</v>
      </c>
      <c r="Q160" s="55">
        <v>98.181818181818173</v>
      </c>
      <c r="R160" s="32">
        <v>54</v>
      </c>
      <c r="S160" s="33">
        <v>0.33</v>
      </c>
      <c r="T160" s="34">
        <f t="shared" si="5"/>
        <v>80.597014925373145</v>
      </c>
      <c r="U160" s="34">
        <f t="shared" si="6"/>
        <v>81.604477611940311</v>
      </c>
      <c r="V160" t="s">
        <v>79</v>
      </c>
      <c r="W160" s="32">
        <v>15</v>
      </c>
      <c r="X160" s="32" t="s">
        <v>80</v>
      </c>
      <c r="AD160" s="1">
        <v>194713698224</v>
      </c>
      <c r="AN160">
        <v>30</v>
      </c>
      <c r="AO160" t="s">
        <v>81</v>
      </c>
    </row>
    <row r="161" spans="1:41" ht="90" x14ac:dyDescent="0.25">
      <c r="A161" s="2">
        <v>194713698095</v>
      </c>
      <c r="B161" t="s">
        <v>71</v>
      </c>
      <c r="C161" t="s">
        <v>72</v>
      </c>
      <c r="D161" t="s">
        <v>521</v>
      </c>
      <c r="E161" t="s">
        <v>522</v>
      </c>
      <c r="F161">
        <v>316210</v>
      </c>
      <c r="G161" s="35" t="s">
        <v>453</v>
      </c>
      <c r="H161" s="31" t="s">
        <v>523</v>
      </c>
      <c r="J161" t="s">
        <v>77</v>
      </c>
      <c r="M161">
        <v>110</v>
      </c>
      <c r="P161" t="s">
        <v>78</v>
      </c>
      <c r="Q161" s="55">
        <v>98.181818181818173</v>
      </c>
      <c r="R161" s="32">
        <v>54</v>
      </c>
      <c r="S161" s="33">
        <v>0.33</v>
      </c>
      <c r="T161" s="34">
        <f t="shared" si="5"/>
        <v>80.597014925373145</v>
      </c>
      <c r="U161" s="34">
        <f t="shared" si="6"/>
        <v>81.604477611940311</v>
      </c>
      <c r="V161" t="s">
        <v>79</v>
      </c>
      <c r="W161" s="32">
        <v>15</v>
      </c>
      <c r="X161" s="32" t="s">
        <v>80</v>
      </c>
      <c r="AD161" s="1">
        <v>194713698095</v>
      </c>
      <c r="AN161">
        <v>30</v>
      </c>
      <c r="AO161" t="s">
        <v>81</v>
      </c>
    </row>
    <row r="162" spans="1:41" ht="90" x14ac:dyDescent="0.25">
      <c r="A162" s="2">
        <v>194713698231</v>
      </c>
      <c r="B162" t="s">
        <v>71</v>
      </c>
      <c r="C162" t="s">
        <v>72</v>
      </c>
      <c r="D162" t="s">
        <v>524</v>
      </c>
      <c r="E162" t="s">
        <v>525</v>
      </c>
      <c r="F162">
        <v>316210</v>
      </c>
      <c r="G162" s="35" t="s">
        <v>453</v>
      </c>
      <c r="H162" s="31" t="s">
        <v>526</v>
      </c>
      <c r="J162" t="s">
        <v>77</v>
      </c>
      <c r="M162">
        <v>110</v>
      </c>
      <c r="P162" t="s">
        <v>78</v>
      </c>
      <c r="Q162" s="55">
        <v>98.181818181818173</v>
      </c>
      <c r="R162" s="32">
        <v>54</v>
      </c>
      <c r="S162" s="33">
        <v>0.33</v>
      </c>
      <c r="T162" s="34">
        <f t="shared" si="5"/>
        <v>80.597014925373145</v>
      </c>
      <c r="U162" s="34">
        <f t="shared" si="6"/>
        <v>81.604477611940311</v>
      </c>
      <c r="V162" t="s">
        <v>79</v>
      </c>
      <c r="W162" s="32">
        <v>15</v>
      </c>
      <c r="X162" s="32" t="s">
        <v>80</v>
      </c>
      <c r="AD162" s="1">
        <v>194713698231</v>
      </c>
      <c r="AN162">
        <v>30</v>
      </c>
      <c r="AO162" t="s">
        <v>81</v>
      </c>
    </row>
    <row r="163" spans="1:41" ht="90" x14ac:dyDescent="0.25">
      <c r="A163" s="2">
        <v>194713698101</v>
      </c>
      <c r="B163" t="s">
        <v>71</v>
      </c>
      <c r="C163" t="s">
        <v>72</v>
      </c>
      <c r="D163" t="s">
        <v>527</v>
      </c>
      <c r="E163" t="s">
        <v>528</v>
      </c>
      <c r="F163">
        <v>316210</v>
      </c>
      <c r="G163" s="35" t="s">
        <v>453</v>
      </c>
      <c r="H163" s="31" t="s">
        <v>529</v>
      </c>
      <c r="J163" t="s">
        <v>77</v>
      </c>
      <c r="M163">
        <v>110</v>
      </c>
      <c r="P163" t="s">
        <v>78</v>
      </c>
      <c r="Q163" s="55">
        <v>98.181818181818173</v>
      </c>
      <c r="R163" s="32">
        <v>54</v>
      </c>
      <c r="S163" s="33">
        <v>0.33</v>
      </c>
      <c r="T163" s="34">
        <f t="shared" si="5"/>
        <v>80.597014925373145</v>
      </c>
      <c r="U163" s="34">
        <f t="shared" si="6"/>
        <v>81.604477611940311</v>
      </c>
      <c r="V163" t="s">
        <v>79</v>
      </c>
      <c r="W163" s="32">
        <v>15</v>
      </c>
      <c r="X163" s="32" t="s">
        <v>80</v>
      </c>
      <c r="AD163" s="1">
        <v>194713698101</v>
      </c>
      <c r="AN163">
        <v>30</v>
      </c>
      <c r="AO163" t="s">
        <v>81</v>
      </c>
    </row>
    <row r="164" spans="1:41" ht="90" x14ac:dyDescent="0.25">
      <c r="A164" s="2">
        <v>194713698248</v>
      </c>
      <c r="B164" t="s">
        <v>71</v>
      </c>
      <c r="C164" t="s">
        <v>72</v>
      </c>
      <c r="D164" t="s">
        <v>530</v>
      </c>
      <c r="E164" t="s">
        <v>531</v>
      </c>
      <c r="F164">
        <v>316210</v>
      </c>
      <c r="G164" s="35" t="s">
        <v>453</v>
      </c>
      <c r="H164" s="31" t="s">
        <v>532</v>
      </c>
      <c r="J164" t="s">
        <v>77</v>
      </c>
      <c r="M164">
        <v>110</v>
      </c>
      <c r="P164" t="s">
        <v>78</v>
      </c>
      <c r="Q164" s="55">
        <v>98.181818181818173</v>
      </c>
      <c r="R164" s="32">
        <v>54</v>
      </c>
      <c r="S164" s="33">
        <v>0.33</v>
      </c>
      <c r="T164" s="34">
        <f t="shared" si="5"/>
        <v>80.597014925373145</v>
      </c>
      <c r="U164" s="34">
        <f t="shared" si="6"/>
        <v>81.604477611940311</v>
      </c>
      <c r="V164" t="s">
        <v>79</v>
      </c>
      <c r="W164" s="32">
        <v>15</v>
      </c>
      <c r="X164" s="32" t="s">
        <v>80</v>
      </c>
      <c r="AD164" s="1">
        <v>194713698248</v>
      </c>
      <c r="AN164">
        <v>30</v>
      </c>
      <c r="AO164" t="s">
        <v>81</v>
      </c>
    </row>
    <row r="165" spans="1:41" ht="60" x14ac:dyDescent="0.25">
      <c r="A165" s="2">
        <v>18469188627</v>
      </c>
      <c r="B165" t="s">
        <v>71</v>
      </c>
      <c r="C165" t="s">
        <v>72</v>
      </c>
      <c r="D165" t="s">
        <v>533</v>
      </c>
      <c r="E165" t="s">
        <v>534</v>
      </c>
      <c r="F165">
        <v>316210</v>
      </c>
      <c r="G165" s="35" t="s">
        <v>535</v>
      </c>
      <c r="H165" s="31" t="s">
        <v>536</v>
      </c>
      <c r="J165" t="s">
        <v>77</v>
      </c>
      <c r="M165">
        <v>200</v>
      </c>
      <c r="P165" t="s">
        <v>78</v>
      </c>
      <c r="Q165" s="55">
        <v>179.99999999999997</v>
      </c>
      <c r="R165" s="32">
        <v>99</v>
      </c>
      <c r="S165" s="33">
        <v>0.33</v>
      </c>
      <c r="T165" s="34">
        <f t="shared" si="5"/>
        <v>147.76119402985077</v>
      </c>
      <c r="U165" s="34">
        <f t="shared" si="6"/>
        <v>149.60820895522389</v>
      </c>
      <c r="V165" t="s">
        <v>79</v>
      </c>
      <c r="W165" s="32">
        <v>15</v>
      </c>
      <c r="X165" s="32" t="s">
        <v>80</v>
      </c>
      <c r="AD165" s="1">
        <v>18469188627</v>
      </c>
      <c r="AN165">
        <v>30</v>
      </c>
      <c r="AO165" t="s">
        <v>81</v>
      </c>
    </row>
    <row r="166" spans="1:41" ht="60" x14ac:dyDescent="0.25">
      <c r="A166" s="2">
        <v>18469188719</v>
      </c>
      <c r="B166" t="s">
        <v>71</v>
      </c>
      <c r="C166" t="s">
        <v>72</v>
      </c>
      <c r="D166" t="s">
        <v>537</v>
      </c>
      <c r="E166" t="s">
        <v>538</v>
      </c>
      <c r="F166">
        <v>316210</v>
      </c>
      <c r="G166" s="35" t="s">
        <v>535</v>
      </c>
      <c r="H166" s="31" t="s">
        <v>539</v>
      </c>
      <c r="J166" t="s">
        <v>77</v>
      </c>
      <c r="M166">
        <v>200</v>
      </c>
      <c r="P166" t="s">
        <v>78</v>
      </c>
      <c r="Q166" s="55">
        <v>179.99999999999997</v>
      </c>
      <c r="R166" s="32">
        <v>99</v>
      </c>
      <c r="S166" s="33">
        <v>0.33</v>
      </c>
      <c r="T166" s="34">
        <f t="shared" si="5"/>
        <v>147.76119402985077</v>
      </c>
      <c r="U166" s="34">
        <f t="shared" si="6"/>
        <v>149.60820895522389</v>
      </c>
      <c r="V166" t="s">
        <v>79</v>
      </c>
      <c r="W166" s="32">
        <v>15</v>
      </c>
      <c r="X166" s="32" t="s">
        <v>80</v>
      </c>
      <c r="AD166" s="1">
        <v>18469188719</v>
      </c>
      <c r="AN166">
        <v>30</v>
      </c>
      <c r="AO166" t="s">
        <v>81</v>
      </c>
    </row>
    <row r="167" spans="1:41" ht="60" x14ac:dyDescent="0.25">
      <c r="A167" s="2">
        <v>18469188726</v>
      </c>
      <c r="B167" t="s">
        <v>71</v>
      </c>
      <c r="C167" t="s">
        <v>72</v>
      </c>
      <c r="D167" t="s">
        <v>540</v>
      </c>
      <c r="E167" t="s">
        <v>541</v>
      </c>
      <c r="F167">
        <v>316210</v>
      </c>
      <c r="G167" s="35" t="s">
        <v>535</v>
      </c>
      <c r="H167" s="31" t="s">
        <v>542</v>
      </c>
      <c r="J167" t="s">
        <v>77</v>
      </c>
      <c r="M167">
        <v>200</v>
      </c>
      <c r="P167" t="s">
        <v>78</v>
      </c>
      <c r="Q167" s="55">
        <v>179.99999999999997</v>
      </c>
      <c r="R167" s="32">
        <v>99</v>
      </c>
      <c r="S167" s="33">
        <v>0.33</v>
      </c>
      <c r="T167" s="34">
        <f t="shared" si="5"/>
        <v>147.76119402985077</v>
      </c>
      <c r="U167" s="34">
        <f t="shared" si="6"/>
        <v>149.60820895522389</v>
      </c>
      <c r="V167" t="s">
        <v>79</v>
      </c>
      <c r="W167" s="32">
        <v>15</v>
      </c>
      <c r="X167" s="32" t="s">
        <v>80</v>
      </c>
      <c r="AD167" s="1">
        <v>18469188726</v>
      </c>
      <c r="AN167">
        <v>30</v>
      </c>
      <c r="AO167" t="s">
        <v>81</v>
      </c>
    </row>
    <row r="168" spans="1:41" ht="60" x14ac:dyDescent="0.25">
      <c r="A168" s="2">
        <v>18469188733</v>
      </c>
      <c r="B168" t="s">
        <v>71</v>
      </c>
      <c r="C168" t="s">
        <v>72</v>
      </c>
      <c r="D168" t="s">
        <v>543</v>
      </c>
      <c r="E168" t="s">
        <v>544</v>
      </c>
      <c r="F168">
        <v>316210</v>
      </c>
      <c r="G168" s="35" t="s">
        <v>535</v>
      </c>
      <c r="H168" s="31" t="s">
        <v>545</v>
      </c>
      <c r="J168" t="s">
        <v>77</v>
      </c>
      <c r="M168">
        <v>200</v>
      </c>
      <c r="P168" t="s">
        <v>78</v>
      </c>
      <c r="Q168" s="55">
        <v>179.99999999999997</v>
      </c>
      <c r="R168" s="32">
        <v>99</v>
      </c>
      <c r="S168" s="33">
        <v>0.33</v>
      </c>
      <c r="T168" s="34">
        <f t="shared" si="5"/>
        <v>147.76119402985077</v>
      </c>
      <c r="U168" s="34">
        <f t="shared" si="6"/>
        <v>149.60820895522389</v>
      </c>
      <c r="V168" t="s">
        <v>79</v>
      </c>
      <c r="W168" s="32">
        <v>15</v>
      </c>
      <c r="X168" s="32" t="s">
        <v>80</v>
      </c>
      <c r="AD168" s="1">
        <v>18469188733</v>
      </c>
      <c r="AN168">
        <v>30</v>
      </c>
      <c r="AO168" t="s">
        <v>81</v>
      </c>
    </row>
    <row r="169" spans="1:41" ht="60" x14ac:dyDescent="0.25">
      <c r="A169" s="2">
        <v>18469188740</v>
      </c>
      <c r="B169" t="s">
        <v>71</v>
      </c>
      <c r="C169" t="s">
        <v>72</v>
      </c>
      <c r="D169" t="s">
        <v>546</v>
      </c>
      <c r="E169" t="s">
        <v>547</v>
      </c>
      <c r="F169">
        <v>316210</v>
      </c>
      <c r="G169" s="35" t="s">
        <v>535</v>
      </c>
      <c r="H169" s="31" t="s">
        <v>548</v>
      </c>
      <c r="J169" t="s">
        <v>77</v>
      </c>
      <c r="M169">
        <v>200</v>
      </c>
      <c r="P169" t="s">
        <v>78</v>
      </c>
      <c r="Q169" s="55">
        <v>179.99999999999997</v>
      </c>
      <c r="R169" s="32">
        <v>99</v>
      </c>
      <c r="S169" s="33">
        <v>0.33</v>
      </c>
      <c r="T169" s="34">
        <f t="shared" si="5"/>
        <v>147.76119402985077</v>
      </c>
      <c r="U169" s="34">
        <f t="shared" si="6"/>
        <v>149.60820895522389</v>
      </c>
      <c r="V169" t="s">
        <v>79</v>
      </c>
      <c r="W169" s="32">
        <v>15</v>
      </c>
      <c r="X169" s="32" t="s">
        <v>80</v>
      </c>
      <c r="AD169" s="1">
        <v>18469188740</v>
      </c>
      <c r="AN169">
        <v>30</v>
      </c>
      <c r="AO169" t="s">
        <v>81</v>
      </c>
    </row>
    <row r="170" spans="1:41" ht="60" x14ac:dyDescent="0.25">
      <c r="A170" s="2">
        <v>18469188757</v>
      </c>
      <c r="B170" t="s">
        <v>71</v>
      </c>
      <c r="C170" t="s">
        <v>72</v>
      </c>
      <c r="D170" t="s">
        <v>549</v>
      </c>
      <c r="E170" t="s">
        <v>550</v>
      </c>
      <c r="F170">
        <v>316210</v>
      </c>
      <c r="G170" s="35" t="s">
        <v>535</v>
      </c>
      <c r="H170" s="31" t="s">
        <v>551</v>
      </c>
      <c r="J170" t="s">
        <v>77</v>
      </c>
      <c r="M170">
        <v>200</v>
      </c>
      <c r="P170" t="s">
        <v>78</v>
      </c>
      <c r="Q170" s="55">
        <v>179.99999999999997</v>
      </c>
      <c r="R170" s="32">
        <v>99</v>
      </c>
      <c r="S170" s="33">
        <v>0.33</v>
      </c>
      <c r="T170" s="34">
        <f t="shared" si="5"/>
        <v>147.76119402985077</v>
      </c>
      <c r="U170" s="34">
        <f t="shared" si="6"/>
        <v>149.60820895522389</v>
      </c>
      <c r="V170" t="s">
        <v>79</v>
      </c>
      <c r="W170" s="32">
        <v>15</v>
      </c>
      <c r="X170" s="32" t="s">
        <v>80</v>
      </c>
      <c r="AD170" s="1">
        <v>18469188757</v>
      </c>
      <c r="AN170">
        <v>30</v>
      </c>
      <c r="AO170" t="s">
        <v>81</v>
      </c>
    </row>
    <row r="171" spans="1:41" ht="60" x14ac:dyDescent="0.25">
      <c r="A171" s="2">
        <v>18473705926</v>
      </c>
      <c r="B171" t="s">
        <v>71</v>
      </c>
      <c r="C171" t="s">
        <v>72</v>
      </c>
      <c r="D171" t="s">
        <v>552</v>
      </c>
      <c r="E171" t="s">
        <v>553</v>
      </c>
      <c r="F171">
        <v>316210</v>
      </c>
      <c r="G171" s="35" t="s">
        <v>535</v>
      </c>
      <c r="H171" s="31" t="s">
        <v>554</v>
      </c>
      <c r="J171" t="s">
        <v>77</v>
      </c>
      <c r="M171">
        <v>200</v>
      </c>
      <c r="P171" t="s">
        <v>78</v>
      </c>
      <c r="Q171" s="55">
        <v>179.99999999999997</v>
      </c>
      <c r="R171" s="32">
        <v>99</v>
      </c>
      <c r="S171" s="33">
        <v>0.33</v>
      </c>
      <c r="T171" s="34">
        <f t="shared" si="5"/>
        <v>147.76119402985077</v>
      </c>
      <c r="U171" s="34">
        <f t="shared" si="6"/>
        <v>149.60820895522389</v>
      </c>
      <c r="V171" t="s">
        <v>79</v>
      </c>
      <c r="W171" s="32">
        <v>15</v>
      </c>
      <c r="X171" s="32" t="s">
        <v>80</v>
      </c>
      <c r="AD171" s="1">
        <v>18473705926</v>
      </c>
      <c r="AN171">
        <v>30</v>
      </c>
      <c r="AO171" t="s">
        <v>81</v>
      </c>
    </row>
    <row r="172" spans="1:41" ht="60" x14ac:dyDescent="0.25">
      <c r="A172" s="2">
        <v>18473706145</v>
      </c>
      <c r="B172" t="s">
        <v>71</v>
      </c>
      <c r="C172" t="s">
        <v>72</v>
      </c>
      <c r="D172" t="s">
        <v>555</v>
      </c>
      <c r="E172" t="s">
        <v>556</v>
      </c>
      <c r="F172">
        <v>316210</v>
      </c>
      <c r="G172" s="35" t="s">
        <v>535</v>
      </c>
      <c r="H172" s="31" t="s">
        <v>557</v>
      </c>
      <c r="J172" t="s">
        <v>77</v>
      </c>
      <c r="M172">
        <v>200</v>
      </c>
      <c r="P172" t="s">
        <v>78</v>
      </c>
      <c r="Q172" s="55">
        <v>179.99999999999997</v>
      </c>
      <c r="R172" s="32">
        <v>99</v>
      </c>
      <c r="S172" s="33">
        <v>0.33</v>
      </c>
      <c r="T172" s="34">
        <f t="shared" si="5"/>
        <v>147.76119402985077</v>
      </c>
      <c r="U172" s="34">
        <f t="shared" si="6"/>
        <v>149.60820895522389</v>
      </c>
      <c r="V172" t="s">
        <v>79</v>
      </c>
      <c r="W172" s="32">
        <v>15</v>
      </c>
      <c r="X172" s="32" t="s">
        <v>80</v>
      </c>
      <c r="AD172" s="1">
        <v>18473706145</v>
      </c>
      <c r="AN172">
        <v>30</v>
      </c>
      <c r="AO172" t="s">
        <v>81</v>
      </c>
    </row>
    <row r="173" spans="1:41" ht="60" x14ac:dyDescent="0.25">
      <c r="A173" s="2">
        <v>18473705933</v>
      </c>
      <c r="B173" t="s">
        <v>71</v>
      </c>
      <c r="C173" t="s">
        <v>72</v>
      </c>
      <c r="D173" t="s">
        <v>558</v>
      </c>
      <c r="E173" t="s">
        <v>559</v>
      </c>
      <c r="F173">
        <v>316210</v>
      </c>
      <c r="G173" s="35" t="s">
        <v>535</v>
      </c>
      <c r="H173" s="31" t="s">
        <v>560</v>
      </c>
      <c r="J173" t="s">
        <v>77</v>
      </c>
      <c r="M173">
        <v>200</v>
      </c>
      <c r="P173" t="s">
        <v>78</v>
      </c>
      <c r="Q173" s="55">
        <v>179.99999999999997</v>
      </c>
      <c r="R173" s="32">
        <v>99</v>
      </c>
      <c r="S173" s="33">
        <v>0.33</v>
      </c>
      <c r="T173" s="34">
        <f t="shared" si="5"/>
        <v>147.76119402985077</v>
      </c>
      <c r="U173" s="34">
        <f t="shared" si="6"/>
        <v>149.60820895522389</v>
      </c>
      <c r="V173" t="s">
        <v>79</v>
      </c>
      <c r="W173" s="32">
        <v>15</v>
      </c>
      <c r="X173" s="32" t="s">
        <v>80</v>
      </c>
      <c r="AD173" s="1">
        <v>18473705933</v>
      </c>
      <c r="AN173">
        <v>30</v>
      </c>
      <c r="AO173" t="s">
        <v>81</v>
      </c>
    </row>
    <row r="174" spans="1:41" ht="60" x14ac:dyDescent="0.25">
      <c r="A174" s="2">
        <v>18473706152</v>
      </c>
      <c r="B174" t="s">
        <v>71</v>
      </c>
      <c r="C174" t="s">
        <v>72</v>
      </c>
      <c r="D174" t="s">
        <v>561</v>
      </c>
      <c r="E174" t="s">
        <v>562</v>
      </c>
      <c r="F174">
        <v>316210</v>
      </c>
      <c r="G174" s="35" t="s">
        <v>535</v>
      </c>
      <c r="H174" s="31" t="s">
        <v>563</v>
      </c>
      <c r="J174" t="s">
        <v>77</v>
      </c>
      <c r="M174">
        <v>200</v>
      </c>
      <c r="P174" t="s">
        <v>78</v>
      </c>
      <c r="Q174" s="55">
        <v>179.99999999999997</v>
      </c>
      <c r="R174" s="32">
        <v>99</v>
      </c>
      <c r="S174" s="33">
        <v>0.33</v>
      </c>
      <c r="T174" s="34">
        <f t="shared" si="5"/>
        <v>147.76119402985077</v>
      </c>
      <c r="U174" s="34">
        <f t="shared" si="6"/>
        <v>149.60820895522389</v>
      </c>
      <c r="V174" t="s">
        <v>79</v>
      </c>
      <c r="W174" s="32">
        <v>15</v>
      </c>
      <c r="X174" s="32" t="s">
        <v>80</v>
      </c>
      <c r="AD174" s="1">
        <v>18473706152</v>
      </c>
      <c r="AN174">
        <v>30</v>
      </c>
      <c r="AO174" t="s">
        <v>81</v>
      </c>
    </row>
    <row r="175" spans="1:41" ht="60" x14ac:dyDescent="0.25">
      <c r="A175" s="2">
        <v>18473705940</v>
      </c>
      <c r="B175" t="s">
        <v>71</v>
      </c>
      <c r="C175" t="s">
        <v>72</v>
      </c>
      <c r="D175" t="s">
        <v>564</v>
      </c>
      <c r="E175" t="s">
        <v>565</v>
      </c>
      <c r="F175">
        <v>316210</v>
      </c>
      <c r="G175" s="35" t="s">
        <v>535</v>
      </c>
      <c r="H175" s="31" t="s">
        <v>566</v>
      </c>
      <c r="J175" t="s">
        <v>77</v>
      </c>
      <c r="M175">
        <v>200</v>
      </c>
      <c r="P175" t="s">
        <v>78</v>
      </c>
      <c r="Q175" s="55">
        <v>179.99999999999997</v>
      </c>
      <c r="R175" s="32">
        <v>99</v>
      </c>
      <c r="S175" s="33">
        <v>0.33</v>
      </c>
      <c r="T175" s="34">
        <f t="shared" si="5"/>
        <v>147.76119402985077</v>
      </c>
      <c r="U175" s="34">
        <f t="shared" si="6"/>
        <v>149.60820895522389</v>
      </c>
      <c r="V175" t="s">
        <v>79</v>
      </c>
      <c r="W175" s="32">
        <v>15</v>
      </c>
      <c r="X175" s="32" t="s">
        <v>80</v>
      </c>
      <c r="AD175" s="1">
        <v>18473705940</v>
      </c>
      <c r="AN175">
        <v>30</v>
      </c>
      <c r="AO175" t="s">
        <v>81</v>
      </c>
    </row>
    <row r="176" spans="1:41" ht="60" x14ac:dyDescent="0.25">
      <c r="A176" s="2">
        <v>18473706169</v>
      </c>
      <c r="B176" t="s">
        <v>71</v>
      </c>
      <c r="C176" t="s">
        <v>72</v>
      </c>
      <c r="D176" t="s">
        <v>567</v>
      </c>
      <c r="E176" t="s">
        <v>568</v>
      </c>
      <c r="F176">
        <v>316210</v>
      </c>
      <c r="G176" s="35" t="s">
        <v>535</v>
      </c>
      <c r="H176" s="31" t="s">
        <v>569</v>
      </c>
      <c r="J176" t="s">
        <v>77</v>
      </c>
      <c r="M176">
        <v>200</v>
      </c>
      <c r="P176" t="s">
        <v>78</v>
      </c>
      <c r="Q176" s="55">
        <v>179.99999999999997</v>
      </c>
      <c r="R176" s="32">
        <v>99</v>
      </c>
      <c r="S176" s="33">
        <v>0.33</v>
      </c>
      <c r="T176" s="34">
        <f t="shared" si="5"/>
        <v>147.76119402985077</v>
      </c>
      <c r="U176" s="34">
        <f t="shared" si="6"/>
        <v>149.60820895522389</v>
      </c>
      <c r="V176" t="s">
        <v>79</v>
      </c>
      <c r="W176" s="32">
        <v>15</v>
      </c>
      <c r="X176" s="32" t="s">
        <v>80</v>
      </c>
      <c r="AD176" s="1">
        <v>18473706169</v>
      </c>
      <c r="AN176">
        <v>30</v>
      </c>
      <c r="AO176" t="s">
        <v>81</v>
      </c>
    </row>
    <row r="177" spans="1:41" ht="60" x14ac:dyDescent="0.25">
      <c r="A177" s="2">
        <v>18473705957</v>
      </c>
      <c r="B177" t="s">
        <v>71</v>
      </c>
      <c r="C177" t="s">
        <v>72</v>
      </c>
      <c r="D177" t="s">
        <v>570</v>
      </c>
      <c r="E177" t="s">
        <v>571</v>
      </c>
      <c r="F177">
        <v>316210</v>
      </c>
      <c r="G177" s="35" t="s">
        <v>535</v>
      </c>
      <c r="H177" s="31" t="s">
        <v>572</v>
      </c>
      <c r="J177" t="s">
        <v>77</v>
      </c>
      <c r="M177">
        <v>200</v>
      </c>
      <c r="P177" t="s">
        <v>78</v>
      </c>
      <c r="Q177" s="55">
        <v>179.99999999999997</v>
      </c>
      <c r="R177" s="32">
        <v>99</v>
      </c>
      <c r="S177" s="33">
        <v>0.33</v>
      </c>
      <c r="T177" s="34">
        <f t="shared" si="5"/>
        <v>147.76119402985077</v>
      </c>
      <c r="U177" s="34">
        <f t="shared" si="6"/>
        <v>149.60820895522389</v>
      </c>
      <c r="V177" t="s">
        <v>79</v>
      </c>
      <c r="W177" s="32">
        <v>15</v>
      </c>
      <c r="X177" s="32" t="s">
        <v>80</v>
      </c>
      <c r="AD177" s="1">
        <v>18473705957</v>
      </c>
      <c r="AN177">
        <v>30</v>
      </c>
      <c r="AO177" t="s">
        <v>81</v>
      </c>
    </row>
    <row r="178" spans="1:41" ht="60" x14ac:dyDescent="0.25">
      <c r="A178" s="2">
        <v>18473706176</v>
      </c>
      <c r="B178" t="s">
        <v>71</v>
      </c>
      <c r="C178" t="s">
        <v>72</v>
      </c>
      <c r="D178" t="s">
        <v>573</v>
      </c>
      <c r="E178" t="s">
        <v>574</v>
      </c>
      <c r="F178">
        <v>316210</v>
      </c>
      <c r="G178" s="35" t="s">
        <v>535</v>
      </c>
      <c r="H178" s="31" t="s">
        <v>575</v>
      </c>
      <c r="J178" t="s">
        <v>77</v>
      </c>
      <c r="M178">
        <v>200</v>
      </c>
      <c r="P178" t="s">
        <v>78</v>
      </c>
      <c r="Q178" s="55">
        <v>179.99999999999997</v>
      </c>
      <c r="R178" s="32">
        <v>99</v>
      </c>
      <c r="S178" s="33">
        <v>0.33</v>
      </c>
      <c r="T178" s="34">
        <f t="shared" si="5"/>
        <v>147.76119402985077</v>
      </c>
      <c r="U178" s="34">
        <f t="shared" si="6"/>
        <v>149.60820895522389</v>
      </c>
      <c r="V178" t="s">
        <v>79</v>
      </c>
      <c r="W178" s="32">
        <v>15</v>
      </c>
      <c r="X178" s="32" t="s">
        <v>80</v>
      </c>
      <c r="AD178" s="1">
        <v>18473706176</v>
      </c>
      <c r="AN178">
        <v>30</v>
      </c>
      <c r="AO178" t="s">
        <v>81</v>
      </c>
    </row>
    <row r="179" spans="1:41" ht="60" x14ac:dyDescent="0.25">
      <c r="A179" s="2">
        <v>18473705964</v>
      </c>
      <c r="B179" t="s">
        <v>71</v>
      </c>
      <c r="C179" t="s">
        <v>72</v>
      </c>
      <c r="D179" t="s">
        <v>576</v>
      </c>
      <c r="E179" t="s">
        <v>577</v>
      </c>
      <c r="F179">
        <v>316210</v>
      </c>
      <c r="G179" s="35" t="s">
        <v>535</v>
      </c>
      <c r="H179" s="31" t="s">
        <v>578</v>
      </c>
      <c r="J179" t="s">
        <v>77</v>
      </c>
      <c r="M179">
        <v>200</v>
      </c>
      <c r="P179" t="s">
        <v>78</v>
      </c>
      <c r="Q179" s="55">
        <v>179.99999999999997</v>
      </c>
      <c r="R179" s="32">
        <v>99</v>
      </c>
      <c r="S179" s="33">
        <v>0.33</v>
      </c>
      <c r="T179" s="34">
        <f t="shared" si="5"/>
        <v>147.76119402985077</v>
      </c>
      <c r="U179" s="34">
        <f t="shared" si="6"/>
        <v>149.60820895522389</v>
      </c>
      <c r="V179" t="s">
        <v>79</v>
      </c>
      <c r="W179" s="32">
        <v>15</v>
      </c>
      <c r="X179" s="32" t="s">
        <v>80</v>
      </c>
      <c r="AD179" s="1">
        <v>18473705964</v>
      </c>
      <c r="AN179">
        <v>30</v>
      </c>
      <c r="AO179" t="s">
        <v>81</v>
      </c>
    </row>
    <row r="180" spans="1:41" ht="60" x14ac:dyDescent="0.25">
      <c r="A180" s="2">
        <v>18473706183</v>
      </c>
      <c r="B180" t="s">
        <v>71</v>
      </c>
      <c r="C180" t="s">
        <v>72</v>
      </c>
      <c r="D180" t="s">
        <v>579</v>
      </c>
      <c r="E180" t="s">
        <v>580</v>
      </c>
      <c r="F180">
        <v>316210</v>
      </c>
      <c r="G180" s="35" t="s">
        <v>535</v>
      </c>
      <c r="H180" s="31" t="s">
        <v>581</v>
      </c>
      <c r="J180" t="s">
        <v>77</v>
      </c>
      <c r="M180">
        <v>200</v>
      </c>
      <c r="P180" t="s">
        <v>78</v>
      </c>
      <c r="Q180" s="55">
        <v>179.99999999999997</v>
      </c>
      <c r="R180" s="32">
        <v>99</v>
      </c>
      <c r="S180" s="33">
        <v>0.33</v>
      </c>
      <c r="T180" s="34">
        <f t="shared" si="5"/>
        <v>147.76119402985077</v>
      </c>
      <c r="U180" s="34">
        <f t="shared" si="6"/>
        <v>149.60820895522389</v>
      </c>
      <c r="V180" t="s">
        <v>79</v>
      </c>
      <c r="W180" s="32">
        <v>15</v>
      </c>
      <c r="X180" s="32" t="s">
        <v>80</v>
      </c>
      <c r="AD180" s="1">
        <v>18473706183</v>
      </c>
      <c r="AN180">
        <v>30</v>
      </c>
      <c r="AO180" t="s">
        <v>81</v>
      </c>
    </row>
    <row r="181" spans="1:41" ht="60" x14ac:dyDescent="0.25">
      <c r="A181" s="2">
        <v>18473705971</v>
      </c>
      <c r="B181" t="s">
        <v>71</v>
      </c>
      <c r="C181" t="s">
        <v>72</v>
      </c>
      <c r="D181" t="s">
        <v>582</v>
      </c>
      <c r="E181" t="s">
        <v>583</v>
      </c>
      <c r="F181">
        <v>316210</v>
      </c>
      <c r="G181" s="35" t="s">
        <v>535</v>
      </c>
      <c r="H181" s="31" t="s">
        <v>584</v>
      </c>
      <c r="J181" t="s">
        <v>77</v>
      </c>
      <c r="M181">
        <v>200</v>
      </c>
      <c r="P181" t="s">
        <v>78</v>
      </c>
      <c r="Q181" s="55">
        <v>179.99999999999997</v>
      </c>
      <c r="R181" s="32">
        <v>99</v>
      </c>
      <c r="S181" s="33">
        <v>0.33</v>
      </c>
      <c r="T181" s="34">
        <f t="shared" si="5"/>
        <v>147.76119402985077</v>
      </c>
      <c r="U181" s="34">
        <f t="shared" si="6"/>
        <v>149.60820895522389</v>
      </c>
      <c r="V181" t="s">
        <v>79</v>
      </c>
      <c r="W181" s="32">
        <v>15</v>
      </c>
      <c r="X181" s="32" t="s">
        <v>80</v>
      </c>
      <c r="AD181" s="1">
        <v>18473705971</v>
      </c>
      <c r="AN181">
        <v>30</v>
      </c>
      <c r="AO181" t="s">
        <v>81</v>
      </c>
    </row>
    <row r="182" spans="1:41" ht="60" x14ac:dyDescent="0.25">
      <c r="A182" s="2">
        <v>18473706190</v>
      </c>
      <c r="B182" t="s">
        <v>71</v>
      </c>
      <c r="C182" t="s">
        <v>72</v>
      </c>
      <c r="D182" t="s">
        <v>585</v>
      </c>
      <c r="E182" t="s">
        <v>586</v>
      </c>
      <c r="F182">
        <v>316210</v>
      </c>
      <c r="G182" s="35" t="s">
        <v>535</v>
      </c>
      <c r="H182" s="31" t="s">
        <v>587</v>
      </c>
      <c r="J182" t="s">
        <v>77</v>
      </c>
      <c r="M182">
        <v>200</v>
      </c>
      <c r="P182" t="s">
        <v>78</v>
      </c>
      <c r="Q182" s="55">
        <v>179.99999999999997</v>
      </c>
      <c r="R182" s="32">
        <v>99</v>
      </c>
      <c r="S182" s="33">
        <v>0.33</v>
      </c>
      <c r="T182" s="34">
        <f t="shared" si="5"/>
        <v>147.76119402985077</v>
      </c>
      <c r="U182" s="34">
        <f t="shared" si="6"/>
        <v>149.60820895522389</v>
      </c>
      <c r="V182" t="s">
        <v>79</v>
      </c>
      <c r="W182" s="32">
        <v>15</v>
      </c>
      <c r="X182" s="32" t="s">
        <v>80</v>
      </c>
      <c r="AD182" s="1">
        <v>18473706190</v>
      </c>
      <c r="AN182">
        <v>30</v>
      </c>
      <c r="AO182" t="s">
        <v>81</v>
      </c>
    </row>
    <row r="183" spans="1:41" ht="60" x14ac:dyDescent="0.25">
      <c r="A183" s="2">
        <v>18473705988</v>
      </c>
      <c r="B183" t="s">
        <v>71</v>
      </c>
      <c r="C183" t="s">
        <v>72</v>
      </c>
      <c r="D183" t="s">
        <v>588</v>
      </c>
      <c r="E183" t="s">
        <v>589</v>
      </c>
      <c r="F183">
        <v>316210</v>
      </c>
      <c r="G183" s="35" t="s">
        <v>535</v>
      </c>
      <c r="H183" s="31" t="s">
        <v>590</v>
      </c>
      <c r="J183" t="s">
        <v>77</v>
      </c>
      <c r="M183">
        <v>200</v>
      </c>
      <c r="P183" t="s">
        <v>78</v>
      </c>
      <c r="Q183" s="55">
        <v>179.99999999999997</v>
      </c>
      <c r="R183" s="32">
        <v>99</v>
      </c>
      <c r="S183" s="33">
        <v>0.33</v>
      </c>
      <c r="T183" s="34">
        <f t="shared" si="5"/>
        <v>147.76119402985077</v>
      </c>
      <c r="U183" s="34">
        <f t="shared" si="6"/>
        <v>149.60820895522389</v>
      </c>
      <c r="V183" t="s">
        <v>79</v>
      </c>
      <c r="W183" s="32">
        <v>15</v>
      </c>
      <c r="X183" s="32" t="s">
        <v>80</v>
      </c>
      <c r="AD183" s="1">
        <v>18473705988</v>
      </c>
      <c r="AN183">
        <v>30</v>
      </c>
      <c r="AO183" t="s">
        <v>81</v>
      </c>
    </row>
    <row r="184" spans="1:41" ht="60" x14ac:dyDescent="0.25">
      <c r="A184" s="2">
        <v>18473706206</v>
      </c>
      <c r="B184" t="s">
        <v>71</v>
      </c>
      <c r="C184" t="s">
        <v>72</v>
      </c>
      <c r="D184" t="s">
        <v>591</v>
      </c>
      <c r="E184" t="s">
        <v>592</v>
      </c>
      <c r="F184">
        <v>316210</v>
      </c>
      <c r="G184" s="35" t="s">
        <v>535</v>
      </c>
      <c r="H184" s="31" t="s">
        <v>593</v>
      </c>
      <c r="J184" t="s">
        <v>77</v>
      </c>
      <c r="M184">
        <v>200</v>
      </c>
      <c r="P184" t="s">
        <v>78</v>
      </c>
      <c r="Q184" s="55">
        <v>179.99999999999997</v>
      </c>
      <c r="R184" s="32">
        <v>99</v>
      </c>
      <c r="S184" s="33">
        <v>0.33</v>
      </c>
      <c r="T184" s="34">
        <f t="shared" si="5"/>
        <v>147.76119402985077</v>
      </c>
      <c r="U184" s="34">
        <f t="shared" si="6"/>
        <v>149.60820895522389</v>
      </c>
      <c r="V184" t="s">
        <v>79</v>
      </c>
      <c r="W184" s="32">
        <v>15</v>
      </c>
      <c r="X184" s="32" t="s">
        <v>80</v>
      </c>
      <c r="AD184" s="1">
        <v>18473706206</v>
      </c>
      <c r="AN184">
        <v>30</v>
      </c>
      <c r="AO184" t="s">
        <v>81</v>
      </c>
    </row>
    <row r="185" spans="1:41" ht="60" x14ac:dyDescent="0.25">
      <c r="A185" s="2">
        <v>18473705995</v>
      </c>
      <c r="B185" t="s">
        <v>71</v>
      </c>
      <c r="C185" t="s">
        <v>72</v>
      </c>
      <c r="D185" t="s">
        <v>594</v>
      </c>
      <c r="E185" t="s">
        <v>595</v>
      </c>
      <c r="F185">
        <v>316210</v>
      </c>
      <c r="G185" s="35" t="s">
        <v>535</v>
      </c>
      <c r="H185" s="31" t="s">
        <v>596</v>
      </c>
      <c r="J185" t="s">
        <v>77</v>
      </c>
      <c r="M185">
        <v>200</v>
      </c>
      <c r="P185" t="s">
        <v>78</v>
      </c>
      <c r="Q185" s="55">
        <v>179.99999999999997</v>
      </c>
      <c r="R185" s="32">
        <v>99</v>
      </c>
      <c r="S185" s="33">
        <v>0.33</v>
      </c>
      <c r="T185" s="34">
        <f t="shared" si="5"/>
        <v>147.76119402985077</v>
      </c>
      <c r="U185" s="34">
        <f t="shared" si="6"/>
        <v>149.60820895522389</v>
      </c>
      <c r="V185" t="s">
        <v>79</v>
      </c>
      <c r="W185" s="32">
        <v>15</v>
      </c>
      <c r="X185" s="32" t="s">
        <v>80</v>
      </c>
      <c r="AD185" s="1">
        <v>18473705995</v>
      </c>
      <c r="AN185">
        <v>30</v>
      </c>
      <c r="AO185" t="s">
        <v>81</v>
      </c>
    </row>
    <row r="186" spans="1:41" ht="60" x14ac:dyDescent="0.25">
      <c r="A186" s="2">
        <v>18473706213</v>
      </c>
      <c r="B186" t="s">
        <v>71</v>
      </c>
      <c r="C186" t="s">
        <v>72</v>
      </c>
      <c r="D186" t="s">
        <v>597</v>
      </c>
      <c r="E186" t="s">
        <v>598</v>
      </c>
      <c r="F186">
        <v>316210</v>
      </c>
      <c r="G186" s="35" t="s">
        <v>535</v>
      </c>
      <c r="H186" s="31" t="s">
        <v>599</v>
      </c>
      <c r="J186" t="s">
        <v>77</v>
      </c>
      <c r="M186">
        <v>200</v>
      </c>
      <c r="P186" t="s">
        <v>78</v>
      </c>
      <c r="Q186" s="55">
        <v>179.99999999999997</v>
      </c>
      <c r="R186" s="32">
        <v>99</v>
      </c>
      <c r="S186" s="33">
        <v>0.33</v>
      </c>
      <c r="T186" s="34">
        <f t="shared" si="5"/>
        <v>147.76119402985077</v>
      </c>
      <c r="U186" s="34">
        <f t="shared" si="6"/>
        <v>149.60820895522389</v>
      </c>
      <c r="V186" t="s">
        <v>79</v>
      </c>
      <c r="W186" s="32">
        <v>15</v>
      </c>
      <c r="X186" s="32" t="s">
        <v>80</v>
      </c>
      <c r="AD186" s="1">
        <v>18473706213</v>
      </c>
      <c r="AN186">
        <v>30</v>
      </c>
      <c r="AO186" t="s">
        <v>81</v>
      </c>
    </row>
    <row r="187" spans="1:41" ht="60" x14ac:dyDescent="0.25">
      <c r="A187" s="2">
        <v>18473706008</v>
      </c>
      <c r="B187" t="s">
        <v>71</v>
      </c>
      <c r="C187" t="s">
        <v>72</v>
      </c>
      <c r="D187" t="s">
        <v>600</v>
      </c>
      <c r="E187" t="s">
        <v>601</v>
      </c>
      <c r="F187">
        <v>316210</v>
      </c>
      <c r="G187" s="35" t="s">
        <v>535</v>
      </c>
      <c r="H187" s="31" t="s">
        <v>602</v>
      </c>
      <c r="J187" t="s">
        <v>77</v>
      </c>
      <c r="M187">
        <v>200</v>
      </c>
      <c r="P187" t="s">
        <v>78</v>
      </c>
      <c r="Q187" s="55">
        <v>179.99999999999997</v>
      </c>
      <c r="R187" s="32">
        <v>99</v>
      </c>
      <c r="S187" s="33">
        <v>0.33</v>
      </c>
      <c r="T187" s="34">
        <f t="shared" si="5"/>
        <v>147.76119402985077</v>
      </c>
      <c r="U187" s="34">
        <f t="shared" si="6"/>
        <v>149.60820895522389</v>
      </c>
      <c r="V187" t="s">
        <v>79</v>
      </c>
      <c r="W187" s="32">
        <v>15</v>
      </c>
      <c r="X187" s="32" t="s">
        <v>80</v>
      </c>
      <c r="AD187" s="1">
        <v>18473706008</v>
      </c>
      <c r="AN187">
        <v>30</v>
      </c>
      <c r="AO187" t="s">
        <v>81</v>
      </c>
    </row>
    <row r="188" spans="1:41" ht="60" x14ac:dyDescent="0.25">
      <c r="A188" s="2">
        <v>18473706220</v>
      </c>
      <c r="B188" t="s">
        <v>71</v>
      </c>
      <c r="C188" t="s">
        <v>72</v>
      </c>
      <c r="D188" t="s">
        <v>603</v>
      </c>
      <c r="E188" t="s">
        <v>604</v>
      </c>
      <c r="F188">
        <v>316210</v>
      </c>
      <c r="G188" s="35" t="s">
        <v>535</v>
      </c>
      <c r="H188" s="31" t="s">
        <v>605</v>
      </c>
      <c r="J188" t="s">
        <v>77</v>
      </c>
      <c r="M188">
        <v>200</v>
      </c>
      <c r="P188" t="s">
        <v>78</v>
      </c>
      <c r="Q188" s="55">
        <v>179.99999999999997</v>
      </c>
      <c r="R188" s="32">
        <v>99</v>
      </c>
      <c r="S188" s="33">
        <v>0.33</v>
      </c>
      <c r="T188" s="34">
        <f t="shared" si="5"/>
        <v>147.76119402985077</v>
      </c>
      <c r="U188" s="34">
        <f t="shared" si="6"/>
        <v>149.60820895522389</v>
      </c>
      <c r="V188" t="s">
        <v>79</v>
      </c>
      <c r="W188" s="32">
        <v>15</v>
      </c>
      <c r="X188" s="32" t="s">
        <v>80</v>
      </c>
      <c r="AD188" s="1">
        <v>18473706220</v>
      </c>
      <c r="AN188">
        <v>30</v>
      </c>
      <c r="AO188" t="s">
        <v>81</v>
      </c>
    </row>
    <row r="189" spans="1:41" ht="60" x14ac:dyDescent="0.25">
      <c r="A189" s="2">
        <v>18473706107</v>
      </c>
      <c r="B189" t="s">
        <v>71</v>
      </c>
      <c r="C189" t="s">
        <v>72</v>
      </c>
      <c r="D189" t="s">
        <v>606</v>
      </c>
      <c r="E189" t="s">
        <v>607</v>
      </c>
      <c r="F189">
        <v>316210</v>
      </c>
      <c r="G189" s="35" t="s">
        <v>535</v>
      </c>
      <c r="H189" s="31" t="s">
        <v>608</v>
      </c>
      <c r="J189" t="s">
        <v>77</v>
      </c>
      <c r="M189">
        <v>200</v>
      </c>
      <c r="P189" t="s">
        <v>78</v>
      </c>
      <c r="Q189" s="55">
        <v>179.99999999999997</v>
      </c>
      <c r="R189" s="32">
        <v>99</v>
      </c>
      <c r="S189" s="33">
        <v>0.33</v>
      </c>
      <c r="T189" s="34">
        <f t="shared" si="5"/>
        <v>147.76119402985077</v>
      </c>
      <c r="U189" s="34">
        <f t="shared" si="6"/>
        <v>149.60820895522389</v>
      </c>
      <c r="V189" t="s">
        <v>79</v>
      </c>
      <c r="W189" s="32">
        <v>15</v>
      </c>
      <c r="X189" s="32" t="s">
        <v>80</v>
      </c>
      <c r="AD189" s="1">
        <v>18473706107</v>
      </c>
      <c r="AN189">
        <v>30</v>
      </c>
      <c r="AO189" t="s">
        <v>81</v>
      </c>
    </row>
    <row r="190" spans="1:41" ht="60" x14ac:dyDescent="0.25">
      <c r="A190" s="2">
        <v>18473706237</v>
      </c>
      <c r="B190" t="s">
        <v>71</v>
      </c>
      <c r="C190" t="s">
        <v>72</v>
      </c>
      <c r="D190" t="s">
        <v>609</v>
      </c>
      <c r="E190" t="s">
        <v>610</v>
      </c>
      <c r="F190">
        <v>316210</v>
      </c>
      <c r="G190" s="35" t="s">
        <v>535</v>
      </c>
      <c r="H190" s="31" t="s">
        <v>611</v>
      </c>
      <c r="J190" t="s">
        <v>77</v>
      </c>
      <c r="M190">
        <v>200</v>
      </c>
      <c r="P190" t="s">
        <v>78</v>
      </c>
      <c r="Q190" s="55">
        <v>179.99999999999997</v>
      </c>
      <c r="R190" s="32">
        <v>99</v>
      </c>
      <c r="S190" s="33">
        <v>0.33</v>
      </c>
      <c r="T190" s="34">
        <f t="shared" si="5"/>
        <v>147.76119402985077</v>
      </c>
      <c r="U190" s="34">
        <f t="shared" si="6"/>
        <v>149.60820895522389</v>
      </c>
      <c r="V190" t="s">
        <v>79</v>
      </c>
      <c r="W190" s="32">
        <v>15</v>
      </c>
      <c r="X190" s="32" t="s">
        <v>80</v>
      </c>
      <c r="AD190" s="1">
        <v>18473706237</v>
      </c>
      <c r="AN190">
        <v>30</v>
      </c>
      <c r="AO190" t="s">
        <v>81</v>
      </c>
    </row>
    <row r="191" spans="1:41" ht="60" x14ac:dyDescent="0.25">
      <c r="A191" s="2">
        <v>18473706121</v>
      </c>
      <c r="B191" t="s">
        <v>71</v>
      </c>
      <c r="C191" t="s">
        <v>72</v>
      </c>
      <c r="D191" t="s">
        <v>612</v>
      </c>
      <c r="E191" t="s">
        <v>613</v>
      </c>
      <c r="F191">
        <v>316210</v>
      </c>
      <c r="G191" s="35" t="s">
        <v>535</v>
      </c>
      <c r="H191" s="31" t="s">
        <v>614</v>
      </c>
      <c r="J191" t="s">
        <v>77</v>
      </c>
      <c r="M191">
        <v>200</v>
      </c>
      <c r="P191" t="s">
        <v>78</v>
      </c>
      <c r="Q191" s="55">
        <v>179.99999999999997</v>
      </c>
      <c r="R191" s="32">
        <v>99</v>
      </c>
      <c r="S191" s="33">
        <v>0.33</v>
      </c>
      <c r="T191" s="34">
        <f t="shared" si="5"/>
        <v>147.76119402985077</v>
      </c>
      <c r="U191" s="34">
        <f t="shared" si="6"/>
        <v>149.60820895522389</v>
      </c>
      <c r="V191" t="s">
        <v>79</v>
      </c>
      <c r="W191" s="32">
        <v>15</v>
      </c>
      <c r="X191" s="32" t="s">
        <v>80</v>
      </c>
      <c r="AD191" s="1">
        <v>18473706121</v>
      </c>
      <c r="AN191">
        <v>30</v>
      </c>
      <c r="AO191" t="s">
        <v>81</v>
      </c>
    </row>
    <row r="192" spans="1:41" ht="60" x14ac:dyDescent="0.25">
      <c r="A192" s="2">
        <v>18473706244</v>
      </c>
      <c r="B192" t="s">
        <v>71</v>
      </c>
      <c r="C192" t="s">
        <v>72</v>
      </c>
      <c r="D192" t="s">
        <v>615</v>
      </c>
      <c r="E192" t="s">
        <v>616</v>
      </c>
      <c r="F192">
        <v>316210</v>
      </c>
      <c r="G192" s="35" t="s">
        <v>535</v>
      </c>
      <c r="H192" s="31" t="s">
        <v>617</v>
      </c>
      <c r="J192" t="s">
        <v>77</v>
      </c>
      <c r="M192">
        <v>200</v>
      </c>
      <c r="P192" t="s">
        <v>78</v>
      </c>
      <c r="Q192" s="55">
        <v>179.99999999999997</v>
      </c>
      <c r="R192" s="32">
        <v>99</v>
      </c>
      <c r="S192" s="33">
        <v>0.33</v>
      </c>
      <c r="T192" s="34">
        <f t="shared" si="5"/>
        <v>147.76119402985077</v>
      </c>
      <c r="U192" s="34">
        <f t="shared" si="6"/>
        <v>149.60820895522389</v>
      </c>
      <c r="V192" t="s">
        <v>79</v>
      </c>
      <c r="W192" s="32">
        <v>15</v>
      </c>
      <c r="X192" s="32" t="s">
        <v>80</v>
      </c>
      <c r="AD192" s="1">
        <v>18473706244</v>
      </c>
      <c r="AN192">
        <v>30</v>
      </c>
      <c r="AO192" t="s">
        <v>81</v>
      </c>
    </row>
    <row r="193" spans="1:41" ht="60" x14ac:dyDescent="0.25">
      <c r="A193" s="2">
        <v>18473706138</v>
      </c>
      <c r="B193" t="s">
        <v>71</v>
      </c>
      <c r="C193" t="s">
        <v>72</v>
      </c>
      <c r="D193" t="s">
        <v>618</v>
      </c>
      <c r="E193" t="s">
        <v>619</v>
      </c>
      <c r="F193">
        <v>316210</v>
      </c>
      <c r="G193" s="35" t="s">
        <v>535</v>
      </c>
      <c r="H193" s="31" t="s">
        <v>620</v>
      </c>
      <c r="J193" t="s">
        <v>77</v>
      </c>
      <c r="M193">
        <v>200</v>
      </c>
      <c r="P193" t="s">
        <v>78</v>
      </c>
      <c r="Q193" s="55">
        <v>179.99999999999997</v>
      </c>
      <c r="R193" s="32">
        <v>99</v>
      </c>
      <c r="S193" s="33">
        <v>0.33</v>
      </c>
      <c r="T193" s="34">
        <f t="shared" si="5"/>
        <v>147.76119402985077</v>
      </c>
      <c r="U193" s="34">
        <f t="shared" si="6"/>
        <v>149.60820895522389</v>
      </c>
      <c r="V193" t="s">
        <v>79</v>
      </c>
      <c r="W193" s="32">
        <v>15</v>
      </c>
      <c r="X193" s="32" t="s">
        <v>80</v>
      </c>
      <c r="AD193" s="1">
        <v>18473706138</v>
      </c>
      <c r="AN193">
        <v>30</v>
      </c>
      <c r="AO193" t="s">
        <v>81</v>
      </c>
    </row>
    <row r="194" spans="1:41" ht="60" x14ac:dyDescent="0.25">
      <c r="A194" s="2">
        <v>18473706251</v>
      </c>
      <c r="B194" t="s">
        <v>71</v>
      </c>
      <c r="C194" t="s">
        <v>72</v>
      </c>
      <c r="D194" t="s">
        <v>621</v>
      </c>
      <c r="E194" t="s">
        <v>622</v>
      </c>
      <c r="F194">
        <v>316210</v>
      </c>
      <c r="G194" s="35" t="s">
        <v>535</v>
      </c>
      <c r="H194" s="31" t="s">
        <v>623</v>
      </c>
      <c r="J194" t="s">
        <v>77</v>
      </c>
      <c r="M194">
        <v>200</v>
      </c>
      <c r="P194" t="s">
        <v>78</v>
      </c>
      <c r="Q194" s="55">
        <v>179.99999999999997</v>
      </c>
      <c r="R194" s="32">
        <v>99</v>
      </c>
      <c r="S194" s="33">
        <v>0.33</v>
      </c>
      <c r="T194" s="34">
        <f t="shared" si="5"/>
        <v>147.76119402985077</v>
      </c>
      <c r="U194" s="34">
        <f t="shared" si="6"/>
        <v>149.60820895522389</v>
      </c>
      <c r="V194" t="s">
        <v>79</v>
      </c>
      <c r="W194" s="32">
        <v>15</v>
      </c>
      <c r="X194" s="32" t="s">
        <v>80</v>
      </c>
      <c r="AD194" s="1">
        <v>18473706251</v>
      </c>
      <c r="AN194">
        <v>30</v>
      </c>
      <c r="AO194" t="s">
        <v>81</v>
      </c>
    </row>
    <row r="195" spans="1:41" ht="60" x14ac:dyDescent="0.25">
      <c r="A195" s="2">
        <v>18473722701</v>
      </c>
      <c r="B195" t="s">
        <v>71</v>
      </c>
      <c r="C195" t="s">
        <v>72</v>
      </c>
      <c r="D195" t="s">
        <v>624</v>
      </c>
      <c r="E195" t="s">
        <v>625</v>
      </c>
      <c r="F195">
        <v>316210</v>
      </c>
      <c r="G195" s="35" t="s">
        <v>535</v>
      </c>
      <c r="H195" s="31" t="s">
        <v>626</v>
      </c>
      <c r="J195" t="s">
        <v>77</v>
      </c>
      <c r="M195">
        <v>200</v>
      </c>
      <c r="P195" t="s">
        <v>78</v>
      </c>
      <c r="Q195" s="55">
        <v>179.99999999999997</v>
      </c>
      <c r="R195" s="32">
        <v>99</v>
      </c>
      <c r="S195" s="33">
        <v>0.33</v>
      </c>
      <c r="T195" s="34">
        <f t="shared" si="5"/>
        <v>147.76119402985077</v>
      </c>
      <c r="U195" s="34">
        <f t="shared" si="6"/>
        <v>149.60820895522389</v>
      </c>
      <c r="V195" t="s">
        <v>79</v>
      </c>
      <c r="W195" s="32">
        <v>15</v>
      </c>
      <c r="X195" s="32" t="s">
        <v>80</v>
      </c>
      <c r="AD195" s="1">
        <v>18473722701</v>
      </c>
      <c r="AN195">
        <v>30</v>
      </c>
      <c r="AO195" t="s">
        <v>81</v>
      </c>
    </row>
    <row r="196" spans="1:41" ht="60" x14ac:dyDescent="0.25">
      <c r="A196" s="2">
        <v>18473722725</v>
      </c>
      <c r="B196" t="s">
        <v>71</v>
      </c>
      <c r="C196" t="s">
        <v>72</v>
      </c>
      <c r="D196" t="s">
        <v>627</v>
      </c>
      <c r="E196" t="s">
        <v>628</v>
      </c>
      <c r="F196">
        <v>316210</v>
      </c>
      <c r="G196" s="35" t="s">
        <v>535</v>
      </c>
      <c r="H196" s="31" t="s">
        <v>629</v>
      </c>
      <c r="J196" t="s">
        <v>77</v>
      </c>
      <c r="M196">
        <v>200</v>
      </c>
      <c r="P196" t="s">
        <v>78</v>
      </c>
      <c r="Q196" s="55">
        <v>179.99999999999997</v>
      </c>
      <c r="R196" s="32">
        <v>99</v>
      </c>
      <c r="S196" s="33">
        <v>0.33</v>
      </c>
      <c r="T196" s="34">
        <f t="shared" ref="T196:T259" si="7">R196/(1-S196)</f>
        <v>147.76119402985077</v>
      </c>
      <c r="U196" s="34">
        <f t="shared" ref="U196:U259" si="8">T196*(1+1.25%)</f>
        <v>149.60820895522389</v>
      </c>
      <c r="V196" t="s">
        <v>79</v>
      </c>
      <c r="W196" s="32">
        <v>15</v>
      </c>
      <c r="X196" s="32" t="s">
        <v>80</v>
      </c>
      <c r="AD196" s="1">
        <v>18473722725</v>
      </c>
      <c r="AN196">
        <v>30</v>
      </c>
      <c r="AO196" t="s">
        <v>81</v>
      </c>
    </row>
    <row r="197" spans="1:41" ht="60" x14ac:dyDescent="0.25">
      <c r="A197" s="2">
        <v>18473722718</v>
      </c>
      <c r="B197" t="s">
        <v>71</v>
      </c>
      <c r="C197" t="s">
        <v>72</v>
      </c>
      <c r="D197" t="s">
        <v>630</v>
      </c>
      <c r="E197" t="s">
        <v>631</v>
      </c>
      <c r="F197">
        <v>316210</v>
      </c>
      <c r="G197" s="35" t="s">
        <v>535</v>
      </c>
      <c r="H197" s="31" t="s">
        <v>632</v>
      </c>
      <c r="J197" t="s">
        <v>77</v>
      </c>
      <c r="M197">
        <v>200</v>
      </c>
      <c r="P197" t="s">
        <v>78</v>
      </c>
      <c r="Q197" s="55">
        <v>179.99999999999997</v>
      </c>
      <c r="R197" s="32">
        <v>99</v>
      </c>
      <c r="S197" s="33">
        <v>0.33</v>
      </c>
      <c r="T197" s="34">
        <f t="shared" si="7"/>
        <v>147.76119402985077</v>
      </c>
      <c r="U197" s="34">
        <f t="shared" si="8"/>
        <v>149.60820895522389</v>
      </c>
      <c r="V197" t="s">
        <v>79</v>
      </c>
      <c r="W197" s="32">
        <v>15</v>
      </c>
      <c r="X197" s="32" t="s">
        <v>80</v>
      </c>
      <c r="AD197" s="1">
        <v>18473722718</v>
      </c>
      <c r="AN197">
        <v>30</v>
      </c>
      <c r="AO197" t="s">
        <v>81</v>
      </c>
    </row>
    <row r="198" spans="1:41" ht="60" x14ac:dyDescent="0.25">
      <c r="A198" s="2">
        <v>886129867140</v>
      </c>
      <c r="B198" t="s">
        <v>71</v>
      </c>
      <c r="C198" t="s">
        <v>72</v>
      </c>
      <c r="D198" t="s">
        <v>633</v>
      </c>
      <c r="E198" t="s">
        <v>634</v>
      </c>
      <c r="F198">
        <v>316210</v>
      </c>
      <c r="G198" s="35" t="s">
        <v>535</v>
      </c>
      <c r="H198" s="31" t="s">
        <v>635</v>
      </c>
      <c r="J198" t="s">
        <v>77</v>
      </c>
      <c r="M198">
        <v>200</v>
      </c>
      <c r="P198" t="s">
        <v>78</v>
      </c>
      <c r="Q198" s="55">
        <v>179.99999999999997</v>
      </c>
      <c r="R198" s="32">
        <v>99</v>
      </c>
      <c r="S198" s="33">
        <v>0.33</v>
      </c>
      <c r="T198" s="34">
        <f t="shared" si="7"/>
        <v>147.76119402985077</v>
      </c>
      <c r="U198" s="34">
        <f t="shared" si="8"/>
        <v>149.60820895522389</v>
      </c>
      <c r="V198" t="s">
        <v>79</v>
      </c>
      <c r="W198" s="32">
        <v>15</v>
      </c>
      <c r="X198" s="32" t="s">
        <v>80</v>
      </c>
      <c r="AD198" s="1">
        <v>886129867140</v>
      </c>
      <c r="AN198">
        <v>30</v>
      </c>
      <c r="AO198" t="s">
        <v>81</v>
      </c>
    </row>
    <row r="199" spans="1:41" ht="90" x14ac:dyDescent="0.25">
      <c r="A199" s="2">
        <v>195021797616</v>
      </c>
      <c r="B199" t="s">
        <v>71</v>
      </c>
      <c r="C199" t="s">
        <v>72</v>
      </c>
      <c r="D199" t="s">
        <v>636</v>
      </c>
      <c r="E199" t="s">
        <v>637</v>
      </c>
      <c r="F199">
        <v>316210</v>
      </c>
      <c r="G199" s="35" t="s">
        <v>638</v>
      </c>
      <c r="H199" s="31" t="s">
        <v>639</v>
      </c>
      <c r="J199" t="s">
        <v>77</v>
      </c>
      <c r="M199">
        <v>145</v>
      </c>
      <c r="P199" t="s">
        <v>78</v>
      </c>
      <c r="Q199" s="55">
        <v>140.90909090909091</v>
      </c>
      <c r="R199" s="32">
        <v>77.5</v>
      </c>
      <c r="S199" s="33">
        <v>0.33</v>
      </c>
      <c r="T199" s="34">
        <f t="shared" si="7"/>
        <v>115.67164179104479</v>
      </c>
      <c r="U199" s="34">
        <f t="shared" si="8"/>
        <v>117.11753731343285</v>
      </c>
      <c r="V199" t="s">
        <v>640</v>
      </c>
      <c r="W199" s="32">
        <v>15</v>
      </c>
      <c r="X199" s="32" t="s">
        <v>80</v>
      </c>
      <c r="AD199" s="1">
        <v>195021797616</v>
      </c>
      <c r="AN199">
        <v>30</v>
      </c>
      <c r="AO199" t="s">
        <v>81</v>
      </c>
    </row>
    <row r="200" spans="1:41" ht="90" x14ac:dyDescent="0.25">
      <c r="A200" s="2">
        <v>195021789284</v>
      </c>
      <c r="B200" t="s">
        <v>71</v>
      </c>
      <c r="C200" t="s">
        <v>72</v>
      </c>
      <c r="D200" t="s">
        <v>641</v>
      </c>
      <c r="E200" t="s">
        <v>642</v>
      </c>
      <c r="F200">
        <v>316210</v>
      </c>
      <c r="G200" s="35" t="s">
        <v>638</v>
      </c>
      <c r="H200" s="31" t="s">
        <v>643</v>
      </c>
      <c r="J200" t="s">
        <v>77</v>
      </c>
      <c r="M200">
        <v>145</v>
      </c>
      <c r="P200" t="s">
        <v>78</v>
      </c>
      <c r="Q200" s="55">
        <v>140.90909090909091</v>
      </c>
      <c r="R200" s="32">
        <v>77.5</v>
      </c>
      <c r="S200" s="33">
        <v>0.33</v>
      </c>
      <c r="T200" s="34">
        <f t="shared" si="7"/>
        <v>115.67164179104479</v>
      </c>
      <c r="U200" s="34">
        <f t="shared" si="8"/>
        <v>117.11753731343285</v>
      </c>
      <c r="V200" t="s">
        <v>640</v>
      </c>
      <c r="W200" s="32">
        <v>15</v>
      </c>
      <c r="X200" s="32" t="s">
        <v>80</v>
      </c>
      <c r="AD200" s="1">
        <v>195021789284</v>
      </c>
      <c r="AN200">
        <v>30</v>
      </c>
      <c r="AO200" t="s">
        <v>81</v>
      </c>
    </row>
    <row r="201" spans="1:41" ht="90" x14ac:dyDescent="0.25">
      <c r="A201" s="2">
        <v>195021797623</v>
      </c>
      <c r="B201" t="s">
        <v>71</v>
      </c>
      <c r="C201" t="s">
        <v>72</v>
      </c>
      <c r="D201" t="s">
        <v>644</v>
      </c>
      <c r="E201" t="s">
        <v>645</v>
      </c>
      <c r="F201">
        <v>316210</v>
      </c>
      <c r="G201" s="35" t="s">
        <v>638</v>
      </c>
      <c r="H201" s="31" t="s">
        <v>646</v>
      </c>
      <c r="J201" t="s">
        <v>77</v>
      </c>
      <c r="M201">
        <v>145</v>
      </c>
      <c r="P201" t="s">
        <v>78</v>
      </c>
      <c r="Q201" s="55">
        <v>140.90909090909091</v>
      </c>
      <c r="R201" s="32">
        <v>77.5</v>
      </c>
      <c r="S201" s="33">
        <v>0.33</v>
      </c>
      <c r="T201" s="34">
        <f t="shared" si="7"/>
        <v>115.67164179104479</v>
      </c>
      <c r="U201" s="34">
        <f t="shared" si="8"/>
        <v>117.11753731343285</v>
      </c>
      <c r="V201" t="s">
        <v>640</v>
      </c>
      <c r="W201" s="32">
        <v>15</v>
      </c>
      <c r="X201" s="32" t="s">
        <v>80</v>
      </c>
      <c r="AD201" s="1">
        <v>195021797623</v>
      </c>
      <c r="AN201">
        <v>30</v>
      </c>
      <c r="AO201" t="s">
        <v>81</v>
      </c>
    </row>
    <row r="202" spans="1:41" ht="90" x14ac:dyDescent="0.25">
      <c r="A202" s="2">
        <v>195021789291</v>
      </c>
      <c r="B202" t="s">
        <v>71</v>
      </c>
      <c r="C202" t="s">
        <v>72</v>
      </c>
      <c r="D202" t="s">
        <v>647</v>
      </c>
      <c r="E202" t="s">
        <v>648</v>
      </c>
      <c r="F202">
        <v>316210</v>
      </c>
      <c r="G202" s="35" t="s">
        <v>638</v>
      </c>
      <c r="H202" s="31" t="s">
        <v>649</v>
      </c>
      <c r="J202" t="s">
        <v>77</v>
      </c>
      <c r="M202">
        <v>145</v>
      </c>
      <c r="P202" t="s">
        <v>78</v>
      </c>
      <c r="Q202" s="55">
        <v>140.90909090909091</v>
      </c>
      <c r="R202" s="32">
        <v>77.5</v>
      </c>
      <c r="S202" s="33">
        <v>0.33</v>
      </c>
      <c r="T202" s="34">
        <f t="shared" si="7"/>
        <v>115.67164179104479</v>
      </c>
      <c r="U202" s="34">
        <f t="shared" si="8"/>
        <v>117.11753731343285</v>
      </c>
      <c r="V202" t="s">
        <v>640</v>
      </c>
      <c r="W202" s="32">
        <v>15</v>
      </c>
      <c r="X202" s="32" t="s">
        <v>80</v>
      </c>
      <c r="AD202" s="1">
        <v>195021789291</v>
      </c>
      <c r="AN202">
        <v>30</v>
      </c>
      <c r="AO202" t="s">
        <v>81</v>
      </c>
    </row>
    <row r="203" spans="1:41" ht="90" x14ac:dyDescent="0.25">
      <c r="A203" s="2">
        <v>195021797630</v>
      </c>
      <c r="B203" t="s">
        <v>71</v>
      </c>
      <c r="C203" t="s">
        <v>72</v>
      </c>
      <c r="D203" t="s">
        <v>650</v>
      </c>
      <c r="E203" t="s">
        <v>651</v>
      </c>
      <c r="F203">
        <v>316210</v>
      </c>
      <c r="G203" s="35" t="s">
        <v>638</v>
      </c>
      <c r="H203" s="31" t="s">
        <v>652</v>
      </c>
      <c r="J203" t="s">
        <v>77</v>
      </c>
      <c r="M203">
        <v>145</v>
      </c>
      <c r="P203" t="s">
        <v>78</v>
      </c>
      <c r="Q203" s="55">
        <v>140.90909090909091</v>
      </c>
      <c r="R203" s="32">
        <v>77.5</v>
      </c>
      <c r="S203" s="33">
        <v>0.33</v>
      </c>
      <c r="T203" s="34">
        <f t="shared" si="7"/>
        <v>115.67164179104479</v>
      </c>
      <c r="U203" s="34">
        <f t="shared" si="8"/>
        <v>117.11753731343285</v>
      </c>
      <c r="V203" t="s">
        <v>640</v>
      </c>
      <c r="W203" s="32">
        <v>15</v>
      </c>
      <c r="X203" s="32" t="s">
        <v>80</v>
      </c>
      <c r="AD203" s="1">
        <v>195021797630</v>
      </c>
      <c r="AN203">
        <v>30</v>
      </c>
      <c r="AO203" t="s">
        <v>81</v>
      </c>
    </row>
    <row r="204" spans="1:41" ht="90" x14ac:dyDescent="0.25">
      <c r="A204" s="2">
        <v>195021797500</v>
      </c>
      <c r="B204" t="s">
        <v>71</v>
      </c>
      <c r="C204" t="s">
        <v>72</v>
      </c>
      <c r="D204" t="s">
        <v>653</v>
      </c>
      <c r="E204" t="s">
        <v>654</v>
      </c>
      <c r="F204">
        <v>316210</v>
      </c>
      <c r="G204" s="35" t="s">
        <v>638</v>
      </c>
      <c r="H204" s="31" t="s">
        <v>655</v>
      </c>
      <c r="J204" t="s">
        <v>77</v>
      </c>
      <c r="M204">
        <v>145</v>
      </c>
      <c r="P204" t="s">
        <v>78</v>
      </c>
      <c r="Q204" s="55">
        <v>140.90909090909091</v>
      </c>
      <c r="R204" s="32">
        <v>77.5</v>
      </c>
      <c r="S204" s="33">
        <v>0.33</v>
      </c>
      <c r="T204" s="34">
        <f t="shared" si="7"/>
        <v>115.67164179104479</v>
      </c>
      <c r="U204" s="34">
        <f t="shared" si="8"/>
        <v>117.11753731343285</v>
      </c>
      <c r="V204" t="s">
        <v>640</v>
      </c>
      <c r="W204" s="32">
        <v>15</v>
      </c>
      <c r="X204" s="32" t="s">
        <v>80</v>
      </c>
      <c r="AD204" s="1">
        <v>195021797500</v>
      </c>
      <c r="AN204">
        <v>30</v>
      </c>
      <c r="AO204" t="s">
        <v>81</v>
      </c>
    </row>
    <row r="205" spans="1:41" ht="90" x14ac:dyDescent="0.25">
      <c r="A205" s="2">
        <v>195021797647</v>
      </c>
      <c r="B205" t="s">
        <v>71</v>
      </c>
      <c r="C205" t="s">
        <v>72</v>
      </c>
      <c r="D205" t="s">
        <v>656</v>
      </c>
      <c r="E205" t="s">
        <v>657</v>
      </c>
      <c r="F205">
        <v>316210</v>
      </c>
      <c r="G205" s="35" t="s">
        <v>638</v>
      </c>
      <c r="H205" s="31" t="s">
        <v>658</v>
      </c>
      <c r="J205" t="s">
        <v>77</v>
      </c>
      <c r="M205">
        <v>145</v>
      </c>
      <c r="P205" t="s">
        <v>78</v>
      </c>
      <c r="Q205" s="55">
        <v>140.90909090909091</v>
      </c>
      <c r="R205" s="32">
        <v>77.5</v>
      </c>
      <c r="S205" s="33">
        <v>0.33</v>
      </c>
      <c r="T205" s="34">
        <f t="shared" si="7"/>
        <v>115.67164179104479</v>
      </c>
      <c r="U205" s="34">
        <f t="shared" si="8"/>
        <v>117.11753731343285</v>
      </c>
      <c r="V205" t="s">
        <v>640</v>
      </c>
      <c r="W205" s="32">
        <v>15</v>
      </c>
      <c r="X205" s="32" t="s">
        <v>80</v>
      </c>
      <c r="AD205" s="1">
        <v>195021797647</v>
      </c>
      <c r="AN205">
        <v>30</v>
      </c>
      <c r="AO205" t="s">
        <v>81</v>
      </c>
    </row>
    <row r="206" spans="1:41" ht="90" x14ac:dyDescent="0.25">
      <c r="A206" s="2">
        <v>195021797517</v>
      </c>
      <c r="B206" t="s">
        <v>71</v>
      </c>
      <c r="C206" t="s">
        <v>72</v>
      </c>
      <c r="D206" t="s">
        <v>659</v>
      </c>
      <c r="E206" t="s">
        <v>660</v>
      </c>
      <c r="F206">
        <v>316210</v>
      </c>
      <c r="G206" s="35" t="s">
        <v>638</v>
      </c>
      <c r="H206" s="31" t="s">
        <v>661</v>
      </c>
      <c r="J206" t="s">
        <v>77</v>
      </c>
      <c r="M206">
        <v>145</v>
      </c>
      <c r="P206" t="s">
        <v>78</v>
      </c>
      <c r="Q206" s="55">
        <v>140.90909090909091</v>
      </c>
      <c r="R206" s="32">
        <v>77.5</v>
      </c>
      <c r="S206" s="33">
        <v>0.33</v>
      </c>
      <c r="T206" s="34">
        <f t="shared" si="7"/>
        <v>115.67164179104479</v>
      </c>
      <c r="U206" s="34">
        <f t="shared" si="8"/>
        <v>117.11753731343285</v>
      </c>
      <c r="V206" t="s">
        <v>640</v>
      </c>
      <c r="W206" s="32">
        <v>15</v>
      </c>
      <c r="X206" s="32" t="s">
        <v>80</v>
      </c>
      <c r="AD206" s="1">
        <v>195021797517</v>
      </c>
      <c r="AN206">
        <v>30</v>
      </c>
      <c r="AO206" t="s">
        <v>81</v>
      </c>
    </row>
    <row r="207" spans="1:41" ht="90" x14ac:dyDescent="0.25">
      <c r="A207" s="2">
        <v>195021797654</v>
      </c>
      <c r="B207" t="s">
        <v>71</v>
      </c>
      <c r="C207" t="s">
        <v>72</v>
      </c>
      <c r="D207" t="s">
        <v>662</v>
      </c>
      <c r="E207" t="s">
        <v>663</v>
      </c>
      <c r="F207">
        <v>316210</v>
      </c>
      <c r="G207" s="35" t="s">
        <v>638</v>
      </c>
      <c r="H207" s="31" t="s">
        <v>664</v>
      </c>
      <c r="J207" t="s">
        <v>77</v>
      </c>
      <c r="M207">
        <v>145</v>
      </c>
      <c r="P207" t="s">
        <v>78</v>
      </c>
      <c r="Q207" s="55">
        <v>140.90909090909091</v>
      </c>
      <c r="R207" s="32">
        <v>77.5</v>
      </c>
      <c r="S207" s="33">
        <v>0.33</v>
      </c>
      <c r="T207" s="34">
        <f t="shared" si="7"/>
        <v>115.67164179104479</v>
      </c>
      <c r="U207" s="34">
        <f t="shared" si="8"/>
        <v>117.11753731343285</v>
      </c>
      <c r="V207" t="s">
        <v>640</v>
      </c>
      <c r="W207" s="32">
        <v>15</v>
      </c>
      <c r="X207" s="32" t="s">
        <v>80</v>
      </c>
      <c r="AD207" s="1">
        <v>195021797654</v>
      </c>
      <c r="AN207">
        <v>30</v>
      </c>
      <c r="AO207" t="s">
        <v>81</v>
      </c>
    </row>
    <row r="208" spans="1:41" ht="90" x14ac:dyDescent="0.25">
      <c r="A208" s="2">
        <v>195021797524</v>
      </c>
      <c r="B208" t="s">
        <v>71</v>
      </c>
      <c r="C208" t="s">
        <v>72</v>
      </c>
      <c r="D208" t="s">
        <v>665</v>
      </c>
      <c r="E208" t="s">
        <v>666</v>
      </c>
      <c r="F208">
        <v>316210</v>
      </c>
      <c r="G208" s="35" t="s">
        <v>638</v>
      </c>
      <c r="H208" s="31" t="s">
        <v>667</v>
      </c>
      <c r="J208" t="s">
        <v>77</v>
      </c>
      <c r="M208">
        <v>145</v>
      </c>
      <c r="P208" t="s">
        <v>78</v>
      </c>
      <c r="Q208" s="55">
        <v>140.90909090909091</v>
      </c>
      <c r="R208" s="32">
        <v>77.5</v>
      </c>
      <c r="S208" s="33">
        <v>0.33</v>
      </c>
      <c r="T208" s="34">
        <f t="shared" si="7"/>
        <v>115.67164179104479</v>
      </c>
      <c r="U208" s="34">
        <f t="shared" si="8"/>
        <v>117.11753731343285</v>
      </c>
      <c r="V208" t="s">
        <v>640</v>
      </c>
      <c r="W208" s="32">
        <v>15</v>
      </c>
      <c r="X208" s="32" t="s">
        <v>80</v>
      </c>
      <c r="AD208" s="1">
        <v>195021797524</v>
      </c>
      <c r="AN208">
        <v>30</v>
      </c>
      <c r="AO208" t="s">
        <v>81</v>
      </c>
    </row>
    <row r="209" spans="1:41" ht="90" x14ac:dyDescent="0.25">
      <c r="A209" s="2">
        <v>195021797661</v>
      </c>
      <c r="B209" t="s">
        <v>71</v>
      </c>
      <c r="C209" t="s">
        <v>72</v>
      </c>
      <c r="D209" t="s">
        <v>668</v>
      </c>
      <c r="E209" t="s">
        <v>669</v>
      </c>
      <c r="F209">
        <v>316210</v>
      </c>
      <c r="G209" s="35" t="s">
        <v>638</v>
      </c>
      <c r="H209" s="31" t="s">
        <v>670</v>
      </c>
      <c r="J209" t="s">
        <v>77</v>
      </c>
      <c r="M209">
        <v>145</v>
      </c>
      <c r="P209" t="s">
        <v>78</v>
      </c>
      <c r="Q209" s="55">
        <v>140.90909090909091</v>
      </c>
      <c r="R209" s="32">
        <v>77.5</v>
      </c>
      <c r="S209" s="33">
        <v>0.33</v>
      </c>
      <c r="T209" s="34">
        <f t="shared" si="7"/>
        <v>115.67164179104479</v>
      </c>
      <c r="U209" s="34">
        <f t="shared" si="8"/>
        <v>117.11753731343285</v>
      </c>
      <c r="V209" t="s">
        <v>640</v>
      </c>
      <c r="W209" s="32">
        <v>15</v>
      </c>
      <c r="X209" s="32" t="s">
        <v>80</v>
      </c>
      <c r="AD209" s="1">
        <v>195021797661</v>
      </c>
      <c r="AN209">
        <v>30</v>
      </c>
      <c r="AO209" t="s">
        <v>81</v>
      </c>
    </row>
    <row r="210" spans="1:41" ht="90" x14ac:dyDescent="0.25">
      <c r="A210" s="2">
        <v>195021797531</v>
      </c>
      <c r="B210" t="s">
        <v>71</v>
      </c>
      <c r="C210" t="s">
        <v>72</v>
      </c>
      <c r="D210" t="s">
        <v>671</v>
      </c>
      <c r="E210" t="s">
        <v>672</v>
      </c>
      <c r="F210">
        <v>316210</v>
      </c>
      <c r="G210" s="35" t="s">
        <v>638</v>
      </c>
      <c r="H210" s="31" t="s">
        <v>673</v>
      </c>
      <c r="J210" t="s">
        <v>77</v>
      </c>
      <c r="M210">
        <v>145</v>
      </c>
      <c r="P210" t="s">
        <v>78</v>
      </c>
      <c r="Q210" s="55">
        <v>140.90909090909091</v>
      </c>
      <c r="R210" s="32">
        <v>77.5</v>
      </c>
      <c r="S210" s="33">
        <v>0.33</v>
      </c>
      <c r="T210" s="34">
        <f t="shared" si="7"/>
        <v>115.67164179104479</v>
      </c>
      <c r="U210" s="34">
        <f t="shared" si="8"/>
        <v>117.11753731343285</v>
      </c>
      <c r="V210" t="s">
        <v>640</v>
      </c>
      <c r="W210" s="32">
        <v>15</v>
      </c>
      <c r="X210" s="32" t="s">
        <v>80</v>
      </c>
      <c r="AD210" s="1">
        <v>195021797531</v>
      </c>
      <c r="AN210">
        <v>30</v>
      </c>
      <c r="AO210" t="s">
        <v>81</v>
      </c>
    </row>
    <row r="211" spans="1:41" ht="90" x14ac:dyDescent="0.25">
      <c r="A211" s="2">
        <v>195021797678</v>
      </c>
      <c r="B211" t="s">
        <v>71</v>
      </c>
      <c r="C211" t="s">
        <v>72</v>
      </c>
      <c r="D211" t="s">
        <v>674</v>
      </c>
      <c r="E211" t="s">
        <v>675</v>
      </c>
      <c r="F211">
        <v>316210</v>
      </c>
      <c r="G211" s="35" t="s">
        <v>638</v>
      </c>
      <c r="H211" s="31" t="s">
        <v>676</v>
      </c>
      <c r="J211" t="s">
        <v>77</v>
      </c>
      <c r="M211">
        <v>145</v>
      </c>
      <c r="P211" t="s">
        <v>78</v>
      </c>
      <c r="Q211" s="55">
        <v>140.90909090909091</v>
      </c>
      <c r="R211" s="32">
        <v>77.5</v>
      </c>
      <c r="S211" s="33">
        <v>0.33</v>
      </c>
      <c r="T211" s="34">
        <f t="shared" si="7"/>
        <v>115.67164179104479</v>
      </c>
      <c r="U211" s="34">
        <f t="shared" si="8"/>
        <v>117.11753731343285</v>
      </c>
      <c r="V211" t="s">
        <v>640</v>
      </c>
      <c r="W211" s="32">
        <v>15</v>
      </c>
      <c r="X211" s="32" t="s">
        <v>80</v>
      </c>
      <c r="AD211" s="1">
        <v>195021797678</v>
      </c>
      <c r="AN211">
        <v>30</v>
      </c>
      <c r="AO211" t="s">
        <v>81</v>
      </c>
    </row>
    <row r="212" spans="1:41" ht="90" x14ac:dyDescent="0.25">
      <c r="A212" s="2">
        <v>195021797548</v>
      </c>
      <c r="B212" t="s">
        <v>71</v>
      </c>
      <c r="C212" t="s">
        <v>72</v>
      </c>
      <c r="D212" t="s">
        <v>677</v>
      </c>
      <c r="E212" t="s">
        <v>678</v>
      </c>
      <c r="F212">
        <v>316210</v>
      </c>
      <c r="G212" s="35" t="s">
        <v>638</v>
      </c>
      <c r="H212" s="31" t="s">
        <v>679</v>
      </c>
      <c r="J212" t="s">
        <v>77</v>
      </c>
      <c r="M212">
        <v>145</v>
      </c>
      <c r="P212" t="s">
        <v>78</v>
      </c>
      <c r="Q212" s="55">
        <v>140.90909090909091</v>
      </c>
      <c r="R212" s="32">
        <v>77.5</v>
      </c>
      <c r="S212" s="33">
        <v>0.33</v>
      </c>
      <c r="T212" s="34">
        <f t="shared" si="7"/>
        <v>115.67164179104479</v>
      </c>
      <c r="U212" s="34">
        <f t="shared" si="8"/>
        <v>117.11753731343285</v>
      </c>
      <c r="V212" t="s">
        <v>640</v>
      </c>
      <c r="W212" s="32">
        <v>15</v>
      </c>
      <c r="X212" s="32" t="s">
        <v>80</v>
      </c>
      <c r="AD212" s="1">
        <v>195021797548</v>
      </c>
      <c r="AN212">
        <v>30</v>
      </c>
      <c r="AO212" t="s">
        <v>81</v>
      </c>
    </row>
    <row r="213" spans="1:41" ht="90" x14ac:dyDescent="0.25">
      <c r="A213" s="2">
        <v>195021797685</v>
      </c>
      <c r="B213" t="s">
        <v>71</v>
      </c>
      <c r="C213" t="s">
        <v>72</v>
      </c>
      <c r="D213" t="s">
        <v>680</v>
      </c>
      <c r="E213" t="s">
        <v>681</v>
      </c>
      <c r="F213">
        <v>316210</v>
      </c>
      <c r="G213" s="35" t="s">
        <v>638</v>
      </c>
      <c r="H213" s="31" t="s">
        <v>682</v>
      </c>
      <c r="J213" t="s">
        <v>77</v>
      </c>
      <c r="M213">
        <v>145</v>
      </c>
      <c r="P213" t="s">
        <v>78</v>
      </c>
      <c r="Q213" s="55">
        <v>140.90909090909091</v>
      </c>
      <c r="R213" s="32">
        <v>77.5</v>
      </c>
      <c r="S213" s="33">
        <v>0.33</v>
      </c>
      <c r="T213" s="34">
        <f t="shared" si="7"/>
        <v>115.67164179104479</v>
      </c>
      <c r="U213" s="34">
        <f t="shared" si="8"/>
        <v>117.11753731343285</v>
      </c>
      <c r="V213" t="s">
        <v>640</v>
      </c>
      <c r="W213" s="32">
        <v>15</v>
      </c>
      <c r="X213" s="32" t="s">
        <v>80</v>
      </c>
      <c r="AD213" s="1">
        <v>195021797685</v>
      </c>
      <c r="AN213">
        <v>30</v>
      </c>
      <c r="AO213" t="s">
        <v>81</v>
      </c>
    </row>
    <row r="214" spans="1:41" ht="90" x14ac:dyDescent="0.25">
      <c r="A214" s="2">
        <v>195021797555</v>
      </c>
      <c r="B214" t="s">
        <v>71</v>
      </c>
      <c r="C214" t="s">
        <v>72</v>
      </c>
      <c r="D214" t="s">
        <v>683</v>
      </c>
      <c r="E214" t="s">
        <v>684</v>
      </c>
      <c r="F214">
        <v>316210</v>
      </c>
      <c r="G214" s="35" t="s">
        <v>638</v>
      </c>
      <c r="H214" s="31" t="s">
        <v>685</v>
      </c>
      <c r="J214" t="s">
        <v>77</v>
      </c>
      <c r="M214">
        <v>145</v>
      </c>
      <c r="P214" t="s">
        <v>78</v>
      </c>
      <c r="Q214" s="55">
        <v>140.90909090909091</v>
      </c>
      <c r="R214" s="32">
        <v>77.5</v>
      </c>
      <c r="S214" s="33">
        <v>0.33</v>
      </c>
      <c r="T214" s="34">
        <f t="shared" si="7"/>
        <v>115.67164179104479</v>
      </c>
      <c r="U214" s="34">
        <f t="shared" si="8"/>
        <v>117.11753731343285</v>
      </c>
      <c r="V214" t="s">
        <v>640</v>
      </c>
      <c r="W214" s="32">
        <v>15</v>
      </c>
      <c r="X214" s="32" t="s">
        <v>80</v>
      </c>
      <c r="AD214" s="1">
        <v>195021797555</v>
      </c>
      <c r="AN214">
        <v>30</v>
      </c>
      <c r="AO214" t="s">
        <v>81</v>
      </c>
    </row>
    <row r="215" spans="1:41" ht="90" x14ac:dyDescent="0.25">
      <c r="A215" s="2">
        <v>195021797692</v>
      </c>
      <c r="B215" t="s">
        <v>71</v>
      </c>
      <c r="C215" t="s">
        <v>72</v>
      </c>
      <c r="D215" t="s">
        <v>686</v>
      </c>
      <c r="E215" t="s">
        <v>687</v>
      </c>
      <c r="F215">
        <v>316210</v>
      </c>
      <c r="G215" s="35" t="s">
        <v>638</v>
      </c>
      <c r="H215" s="31" t="s">
        <v>688</v>
      </c>
      <c r="J215" t="s">
        <v>77</v>
      </c>
      <c r="M215">
        <v>145</v>
      </c>
      <c r="P215" t="s">
        <v>78</v>
      </c>
      <c r="Q215" s="55">
        <v>140.90909090909091</v>
      </c>
      <c r="R215" s="32">
        <v>77.5</v>
      </c>
      <c r="S215" s="33">
        <v>0.33</v>
      </c>
      <c r="T215" s="34">
        <f t="shared" si="7"/>
        <v>115.67164179104479</v>
      </c>
      <c r="U215" s="34">
        <f t="shared" si="8"/>
        <v>117.11753731343285</v>
      </c>
      <c r="V215" t="s">
        <v>640</v>
      </c>
      <c r="W215" s="32">
        <v>15</v>
      </c>
      <c r="X215" s="32" t="s">
        <v>80</v>
      </c>
      <c r="AD215" s="1">
        <v>195021797692</v>
      </c>
      <c r="AN215">
        <v>30</v>
      </c>
      <c r="AO215" t="s">
        <v>81</v>
      </c>
    </row>
    <row r="216" spans="1:41" ht="90" x14ac:dyDescent="0.25">
      <c r="A216" s="2">
        <v>195021797562</v>
      </c>
      <c r="B216" t="s">
        <v>71</v>
      </c>
      <c r="C216" t="s">
        <v>72</v>
      </c>
      <c r="D216" t="s">
        <v>689</v>
      </c>
      <c r="E216" t="s">
        <v>690</v>
      </c>
      <c r="F216">
        <v>316210</v>
      </c>
      <c r="G216" s="35" t="s">
        <v>638</v>
      </c>
      <c r="H216" s="31" t="s">
        <v>691</v>
      </c>
      <c r="J216" t="s">
        <v>77</v>
      </c>
      <c r="M216">
        <v>145</v>
      </c>
      <c r="P216" t="s">
        <v>78</v>
      </c>
      <c r="Q216" s="55">
        <v>140.90909090909091</v>
      </c>
      <c r="R216" s="32">
        <v>77.5</v>
      </c>
      <c r="S216" s="33">
        <v>0.33</v>
      </c>
      <c r="T216" s="34">
        <f t="shared" si="7"/>
        <v>115.67164179104479</v>
      </c>
      <c r="U216" s="34">
        <f t="shared" si="8"/>
        <v>117.11753731343285</v>
      </c>
      <c r="V216" t="s">
        <v>640</v>
      </c>
      <c r="W216" s="32">
        <v>15</v>
      </c>
      <c r="X216" s="32" t="s">
        <v>80</v>
      </c>
      <c r="AD216" s="1">
        <v>195021797562</v>
      </c>
      <c r="AN216">
        <v>30</v>
      </c>
      <c r="AO216" t="s">
        <v>81</v>
      </c>
    </row>
    <row r="217" spans="1:41" ht="90" x14ac:dyDescent="0.25">
      <c r="A217" s="2">
        <v>195021797708</v>
      </c>
      <c r="B217" t="s">
        <v>71</v>
      </c>
      <c r="C217" t="s">
        <v>72</v>
      </c>
      <c r="D217" t="s">
        <v>692</v>
      </c>
      <c r="E217" t="s">
        <v>693</v>
      </c>
      <c r="F217">
        <v>316210</v>
      </c>
      <c r="G217" s="35" t="s">
        <v>638</v>
      </c>
      <c r="H217" s="31" t="s">
        <v>694</v>
      </c>
      <c r="J217" t="s">
        <v>77</v>
      </c>
      <c r="M217">
        <v>145</v>
      </c>
      <c r="P217" t="s">
        <v>78</v>
      </c>
      <c r="Q217" s="55">
        <v>140.90909090909091</v>
      </c>
      <c r="R217" s="32">
        <v>77.5</v>
      </c>
      <c r="S217" s="33">
        <v>0.33</v>
      </c>
      <c r="T217" s="34">
        <f t="shared" si="7"/>
        <v>115.67164179104479</v>
      </c>
      <c r="U217" s="34">
        <f t="shared" si="8"/>
        <v>117.11753731343285</v>
      </c>
      <c r="V217" t="s">
        <v>640</v>
      </c>
      <c r="W217" s="32">
        <v>15</v>
      </c>
      <c r="X217" s="32" t="s">
        <v>80</v>
      </c>
      <c r="AD217" s="1">
        <v>195021797708</v>
      </c>
      <c r="AN217">
        <v>30</v>
      </c>
      <c r="AO217" t="s">
        <v>81</v>
      </c>
    </row>
    <row r="218" spans="1:41" ht="90" x14ac:dyDescent="0.25">
      <c r="A218" s="2">
        <v>195021797579</v>
      </c>
      <c r="B218" t="s">
        <v>71</v>
      </c>
      <c r="C218" t="s">
        <v>72</v>
      </c>
      <c r="D218" t="s">
        <v>695</v>
      </c>
      <c r="E218" t="s">
        <v>696</v>
      </c>
      <c r="F218">
        <v>316210</v>
      </c>
      <c r="G218" s="35" t="s">
        <v>638</v>
      </c>
      <c r="H218" s="31" t="s">
        <v>697</v>
      </c>
      <c r="J218" t="s">
        <v>77</v>
      </c>
      <c r="M218">
        <v>145</v>
      </c>
      <c r="P218" t="s">
        <v>78</v>
      </c>
      <c r="Q218" s="55">
        <v>140.90909090909091</v>
      </c>
      <c r="R218" s="32">
        <v>77.5</v>
      </c>
      <c r="S218" s="33">
        <v>0.33</v>
      </c>
      <c r="T218" s="34">
        <f t="shared" si="7"/>
        <v>115.67164179104479</v>
      </c>
      <c r="U218" s="34">
        <f t="shared" si="8"/>
        <v>117.11753731343285</v>
      </c>
      <c r="V218" t="s">
        <v>640</v>
      </c>
      <c r="W218" s="32">
        <v>15</v>
      </c>
      <c r="X218" s="32" t="s">
        <v>80</v>
      </c>
      <c r="AD218" s="1">
        <v>195021797579</v>
      </c>
      <c r="AN218">
        <v>30</v>
      </c>
      <c r="AO218" t="s">
        <v>81</v>
      </c>
    </row>
    <row r="219" spans="1:41" ht="90" x14ac:dyDescent="0.25">
      <c r="A219" s="2">
        <v>195021797715</v>
      </c>
      <c r="B219" t="s">
        <v>71</v>
      </c>
      <c r="C219" t="s">
        <v>72</v>
      </c>
      <c r="D219" t="s">
        <v>698</v>
      </c>
      <c r="E219" t="s">
        <v>699</v>
      </c>
      <c r="F219">
        <v>316210</v>
      </c>
      <c r="G219" s="35" t="s">
        <v>638</v>
      </c>
      <c r="H219" s="31" t="s">
        <v>700</v>
      </c>
      <c r="J219" t="s">
        <v>77</v>
      </c>
      <c r="M219">
        <v>145</v>
      </c>
      <c r="P219" t="s">
        <v>78</v>
      </c>
      <c r="Q219" s="55">
        <v>140.90909090909091</v>
      </c>
      <c r="R219" s="32">
        <v>77.5</v>
      </c>
      <c r="S219" s="33">
        <v>0.33</v>
      </c>
      <c r="T219" s="34">
        <f t="shared" si="7"/>
        <v>115.67164179104479</v>
      </c>
      <c r="U219" s="34">
        <f t="shared" si="8"/>
        <v>117.11753731343285</v>
      </c>
      <c r="V219" t="s">
        <v>640</v>
      </c>
      <c r="W219" s="32">
        <v>15</v>
      </c>
      <c r="X219" s="32" t="s">
        <v>80</v>
      </c>
      <c r="AD219" s="1">
        <v>195021797715</v>
      </c>
      <c r="AN219">
        <v>30</v>
      </c>
      <c r="AO219" t="s">
        <v>81</v>
      </c>
    </row>
    <row r="220" spans="1:41" ht="90" x14ac:dyDescent="0.25">
      <c r="A220" s="2">
        <v>195021797586</v>
      </c>
      <c r="B220" t="s">
        <v>71</v>
      </c>
      <c r="C220" t="s">
        <v>72</v>
      </c>
      <c r="D220" t="s">
        <v>701</v>
      </c>
      <c r="E220" t="s">
        <v>702</v>
      </c>
      <c r="F220">
        <v>316210</v>
      </c>
      <c r="G220" s="35" t="s">
        <v>638</v>
      </c>
      <c r="H220" s="31" t="s">
        <v>703</v>
      </c>
      <c r="J220" t="s">
        <v>77</v>
      </c>
      <c r="M220">
        <v>145</v>
      </c>
      <c r="P220" t="s">
        <v>78</v>
      </c>
      <c r="Q220" s="55">
        <v>140.90909090909091</v>
      </c>
      <c r="R220" s="32">
        <v>77.5</v>
      </c>
      <c r="S220" s="33">
        <v>0.33</v>
      </c>
      <c r="T220" s="34">
        <f t="shared" si="7"/>
        <v>115.67164179104479</v>
      </c>
      <c r="U220" s="34">
        <f t="shared" si="8"/>
        <v>117.11753731343285</v>
      </c>
      <c r="V220" t="s">
        <v>640</v>
      </c>
      <c r="W220" s="32">
        <v>15</v>
      </c>
      <c r="X220" s="32" t="s">
        <v>80</v>
      </c>
      <c r="AD220" s="1">
        <v>195021797586</v>
      </c>
      <c r="AN220">
        <v>30</v>
      </c>
      <c r="AO220" t="s">
        <v>81</v>
      </c>
    </row>
    <row r="221" spans="1:41" ht="90" x14ac:dyDescent="0.25">
      <c r="A221" s="2">
        <v>195021797722</v>
      </c>
      <c r="B221" t="s">
        <v>71</v>
      </c>
      <c r="C221" t="s">
        <v>72</v>
      </c>
      <c r="D221" t="s">
        <v>704</v>
      </c>
      <c r="E221" t="s">
        <v>705</v>
      </c>
      <c r="F221">
        <v>316210</v>
      </c>
      <c r="G221" s="35" t="s">
        <v>638</v>
      </c>
      <c r="H221" s="31" t="s">
        <v>706</v>
      </c>
      <c r="J221" t="s">
        <v>77</v>
      </c>
      <c r="M221">
        <v>145</v>
      </c>
      <c r="P221" t="s">
        <v>78</v>
      </c>
      <c r="Q221" s="55">
        <v>140.90909090909091</v>
      </c>
      <c r="R221" s="32">
        <v>77.5</v>
      </c>
      <c r="S221" s="33">
        <v>0.33</v>
      </c>
      <c r="T221" s="34">
        <f t="shared" si="7"/>
        <v>115.67164179104479</v>
      </c>
      <c r="U221" s="34">
        <f t="shared" si="8"/>
        <v>117.11753731343285</v>
      </c>
      <c r="V221" t="s">
        <v>640</v>
      </c>
      <c r="W221" s="32">
        <v>15</v>
      </c>
      <c r="X221" s="32" t="s">
        <v>80</v>
      </c>
      <c r="AD221" s="1">
        <v>195021797722</v>
      </c>
      <c r="AN221">
        <v>30</v>
      </c>
      <c r="AO221" t="s">
        <v>81</v>
      </c>
    </row>
    <row r="222" spans="1:41" ht="90" x14ac:dyDescent="0.25">
      <c r="A222" s="2">
        <v>195021797593</v>
      </c>
      <c r="B222" t="s">
        <v>71</v>
      </c>
      <c r="C222" t="s">
        <v>72</v>
      </c>
      <c r="D222" t="s">
        <v>707</v>
      </c>
      <c r="E222" t="s">
        <v>708</v>
      </c>
      <c r="F222">
        <v>316210</v>
      </c>
      <c r="G222" s="35" t="s">
        <v>638</v>
      </c>
      <c r="H222" s="31" t="s">
        <v>709</v>
      </c>
      <c r="J222" t="s">
        <v>77</v>
      </c>
      <c r="M222">
        <v>145</v>
      </c>
      <c r="P222" t="s">
        <v>78</v>
      </c>
      <c r="Q222" s="55">
        <v>140.90909090909091</v>
      </c>
      <c r="R222" s="32">
        <v>77.5</v>
      </c>
      <c r="S222" s="33">
        <v>0.33</v>
      </c>
      <c r="T222" s="34">
        <f t="shared" si="7"/>
        <v>115.67164179104479</v>
      </c>
      <c r="U222" s="34">
        <f t="shared" si="8"/>
        <v>117.11753731343285</v>
      </c>
      <c r="V222" t="s">
        <v>640</v>
      </c>
      <c r="W222" s="32">
        <v>15</v>
      </c>
      <c r="X222" s="32" t="s">
        <v>80</v>
      </c>
      <c r="AD222" s="1">
        <v>195021797593</v>
      </c>
      <c r="AN222">
        <v>30</v>
      </c>
      <c r="AO222" t="s">
        <v>81</v>
      </c>
    </row>
    <row r="223" spans="1:41" ht="90" x14ac:dyDescent="0.25">
      <c r="A223" s="2">
        <v>195021797739</v>
      </c>
      <c r="B223" t="s">
        <v>71</v>
      </c>
      <c r="C223" t="s">
        <v>72</v>
      </c>
      <c r="D223" t="s">
        <v>710</v>
      </c>
      <c r="E223" t="s">
        <v>711</v>
      </c>
      <c r="F223">
        <v>316210</v>
      </c>
      <c r="G223" s="35" t="s">
        <v>638</v>
      </c>
      <c r="H223" s="31" t="s">
        <v>712</v>
      </c>
      <c r="J223" t="s">
        <v>77</v>
      </c>
      <c r="M223">
        <v>145</v>
      </c>
      <c r="P223" t="s">
        <v>78</v>
      </c>
      <c r="Q223" s="55">
        <v>140.90909090909091</v>
      </c>
      <c r="R223" s="32">
        <v>77.5</v>
      </c>
      <c r="S223" s="33">
        <v>0.33</v>
      </c>
      <c r="T223" s="34">
        <f t="shared" si="7"/>
        <v>115.67164179104479</v>
      </c>
      <c r="U223" s="34">
        <f t="shared" si="8"/>
        <v>117.11753731343285</v>
      </c>
      <c r="V223" t="s">
        <v>640</v>
      </c>
      <c r="W223" s="32">
        <v>15</v>
      </c>
      <c r="X223" s="32" t="s">
        <v>80</v>
      </c>
      <c r="AD223" s="1">
        <v>195021797739</v>
      </c>
      <c r="AN223">
        <v>30</v>
      </c>
      <c r="AO223" t="s">
        <v>81</v>
      </c>
    </row>
    <row r="224" spans="1:41" ht="90" x14ac:dyDescent="0.25">
      <c r="A224" s="2">
        <v>195021797609</v>
      </c>
      <c r="B224" t="s">
        <v>71</v>
      </c>
      <c r="C224" t="s">
        <v>72</v>
      </c>
      <c r="D224" t="s">
        <v>713</v>
      </c>
      <c r="E224" t="s">
        <v>714</v>
      </c>
      <c r="F224">
        <v>316210</v>
      </c>
      <c r="G224" s="35" t="s">
        <v>638</v>
      </c>
      <c r="H224" s="31" t="s">
        <v>715</v>
      </c>
      <c r="J224" t="s">
        <v>77</v>
      </c>
      <c r="M224">
        <v>145</v>
      </c>
      <c r="P224" t="s">
        <v>78</v>
      </c>
      <c r="Q224" s="55">
        <v>140.90909090909091</v>
      </c>
      <c r="R224" s="32">
        <v>77.5</v>
      </c>
      <c r="S224" s="33">
        <v>0.33</v>
      </c>
      <c r="T224" s="34">
        <f t="shared" si="7"/>
        <v>115.67164179104479</v>
      </c>
      <c r="U224" s="34">
        <f t="shared" si="8"/>
        <v>117.11753731343285</v>
      </c>
      <c r="V224" t="s">
        <v>640</v>
      </c>
      <c r="W224" s="32">
        <v>15</v>
      </c>
      <c r="X224" s="32" t="s">
        <v>80</v>
      </c>
      <c r="AD224" s="1">
        <v>195021797609</v>
      </c>
      <c r="AN224">
        <v>30</v>
      </c>
      <c r="AO224" t="s">
        <v>81</v>
      </c>
    </row>
    <row r="225" spans="1:41" ht="105" x14ac:dyDescent="0.25">
      <c r="A225" s="2">
        <v>40707542373</v>
      </c>
      <c r="B225" t="s">
        <v>71</v>
      </c>
      <c r="C225" t="s">
        <v>72</v>
      </c>
      <c r="D225" t="s">
        <v>716</v>
      </c>
      <c r="E225" t="s">
        <v>717</v>
      </c>
      <c r="F225">
        <v>316210</v>
      </c>
      <c r="G225" s="35" t="s">
        <v>718</v>
      </c>
      <c r="H225" s="31" t="s">
        <v>719</v>
      </c>
      <c r="J225" t="s">
        <v>77</v>
      </c>
      <c r="M225">
        <v>180</v>
      </c>
      <c r="P225" t="s">
        <v>78</v>
      </c>
      <c r="Q225" s="55">
        <v>162.72727272727272</v>
      </c>
      <c r="R225" s="32">
        <v>89.5</v>
      </c>
      <c r="S225" s="33">
        <v>0.33</v>
      </c>
      <c r="T225" s="34">
        <f t="shared" si="7"/>
        <v>133.58208955223881</v>
      </c>
      <c r="U225" s="34">
        <f t="shared" si="8"/>
        <v>135.25186567164178</v>
      </c>
      <c r="V225" t="s">
        <v>640</v>
      </c>
      <c r="W225" s="32">
        <v>15</v>
      </c>
      <c r="X225" s="32" t="s">
        <v>80</v>
      </c>
      <c r="AD225" s="1">
        <v>40707542373</v>
      </c>
      <c r="AN225">
        <v>30</v>
      </c>
      <c r="AO225" t="s">
        <v>81</v>
      </c>
    </row>
    <row r="226" spans="1:41" ht="105" x14ac:dyDescent="0.25">
      <c r="A226" s="2">
        <v>40707542380</v>
      </c>
      <c r="B226" t="s">
        <v>71</v>
      </c>
      <c r="C226" t="s">
        <v>72</v>
      </c>
      <c r="D226" t="s">
        <v>720</v>
      </c>
      <c r="E226" t="s">
        <v>721</v>
      </c>
      <c r="F226">
        <v>316210</v>
      </c>
      <c r="G226" s="35" t="s">
        <v>718</v>
      </c>
      <c r="H226" s="31" t="s">
        <v>722</v>
      </c>
      <c r="J226" t="s">
        <v>77</v>
      </c>
      <c r="M226">
        <v>180</v>
      </c>
      <c r="P226" t="s">
        <v>78</v>
      </c>
      <c r="Q226" s="55">
        <v>162.72727272727272</v>
      </c>
      <c r="R226" s="32">
        <v>89.5</v>
      </c>
      <c r="S226" s="33">
        <v>0.33</v>
      </c>
      <c r="T226" s="34">
        <f t="shared" si="7"/>
        <v>133.58208955223881</v>
      </c>
      <c r="U226" s="34">
        <f t="shared" si="8"/>
        <v>135.25186567164178</v>
      </c>
      <c r="V226" t="s">
        <v>640</v>
      </c>
      <c r="W226" s="32">
        <v>15</v>
      </c>
      <c r="X226" s="32" t="s">
        <v>80</v>
      </c>
      <c r="AD226" s="1">
        <v>40707542380</v>
      </c>
      <c r="AN226">
        <v>30</v>
      </c>
      <c r="AO226" t="s">
        <v>81</v>
      </c>
    </row>
    <row r="227" spans="1:41" ht="105" x14ac:dyDescent="0.25">
      <c r="A227" s="2">
        <v>40707542397</v>
      </c>
      <c r="B227" t="s">
        <v>71</v>
      </c>
      <c r="C227" t="s">
        <v>72</v>
      </c>
      <c r="D227" t="s">
        <v>723</v>
      </c>
      <c r="E227" t="s">
        <v>724</v>
      </c>
      <c r="F227">
        <v>316210</v>
      </c>
      <c r="G227" s="35" t="s">
        <v>718</v>
      </c>
      <c r="H227" s="31" t="s">
        <v>725</v>
      </c>
      <c r="J227" t="s">
        <v>77</v>
      </c>
      <c r="M227">
        <v>180</v>
      </c>
      <c r="P227" t="s">
        <v>78</v>
      </c>
      <c r="Q227" s="55">
        <v>162.72727272727272</v>
      </c>
      <c r="R227" s="32">
        <v>89.5</v>
      </c>
      <c r="S227" s="33">
        <v>0.33</v>
      </c>
      <c r="T227" s="34">
        <f t="shared" si="7"/>
        <v>133.58208955223881</v>
      </c>
      <c r="U227" s="34">
        <f t="shared" si="8"/>
        <v>135.25186567164178</v>
      </c>
      <c r="V227" t="s">
        <v>640</v>
      </c>
      <c r="W227" s="32">
        <v>15</v>
      </c>
      <c r="X227" s="32" t="s">
        <v>80</v>
      </c>
      <c r="AD227" s="1">
        <v>40707542397</v>
      </c>
      <c r="AN227">
        <v>30</v>
      </c>
      <c r="AO227" t="s">
        <v>81</v>
      </c>
    </row>
    <row r="228" spans="1:41" ht="105" x14ac:dyDescent="0.25">
      <c r="A228" s="2">
        <v>40707542403</v>
      </c>
      <c r="B228" t="s">
        <v>71</v>
      </c>
      <c r="C228" t="s">
        <v>72</v>
      </c>
      <c r="D228" t="s">
        <v>726</v>
      </c>
      <c r="E228" t="s">
        <v>727</v>
      </c>
      <c r="F228">
        <v>316210</v>
      </c>
      <c r="G228" s="35" t="s">
        <v>718</v>
      </c>
      <c r="H228" s="31" t="s">
        <v>728</v>
      </c>
      <c r="J228" t="s">
        <v>77</v>
      </c>
      <c r="M228">
        <v>180</v>
      </c>
      <c r="P228" t="s">
        <v>78</v>
      </c>
      <c r="Q228" s="55">
        <v>162.72727272727272</v>
      </c>
      <c r="R228" s="32">
        <v>89.5</v>
      </c>
      <c r="S228" s="33">
        <v>0.33</v>
      </c>
      <c r="T228" s="34">
        <f t="shared" si="7"/>
        <v>133.58208955223881</v>
      </c>
      <c r="U228" s="34">
        <f t="shared" si="8"/>
        <v>135.25186567164178</v>
      </c>
      <c r="V228" t="s">
        <v>640</v>
      </c>
      <c r="W228" s="32">
        <v>15</v>
      </c>
      <c r="X228" s="32" t="s">
        <v>80</v>
      </c>
      <c r="AD228" s="1">
        <v>40707542403</v>
      </c>
      <c r="AN228">
        <v>30</v>
      </c>
      <c r="AO228" t="s">
        <v>81</v>
      </c>
    </row>
    <row r="229" spans="1:41" ht="105" x14ac:dyDescent="0.25">
      <c r="A229" s="2">
        <v>40707542410</v>
      </c>
      <c r="B229" t="s">
        <v>71</v>
      </c>
      <c r="C229" t="s">
        <v>72</v>
      </c>
      <c r="D229" t="s">
        <v>729</v>
      </c>
      <c r="E229" t="s">
        <v>730</v>
      </c>
      <c r="F229">
        <v>316210</v>
      </c>
      <c r="G229" s="35" t="s">
        <v>718</v>
      </c>
      <c r="H229" s="31" t="s">
        <v>731</v>
      </c>
      <c r="J229" t="s">
        <v>77</v>
      </c>
      <c r="M229">
        <v>180</v>
      </c>
      <c r="P229" t="s">
        <v>78</v>
      </c>
      <c r="Q229" s="55">
        <v>162.72727272727272</v>
      </c>
      <c r="R229" s="32">
        <v>89.5</v>
      </c>
      <c r="S229" s="33">
        <v>0.33</v>
      </c>
      <c r="T229" s="34">
        <f t="shared" si="7"/>
        <v>133.58208955223881</v>
      </c>
      <c r="U229" s="34">
        <f t="shared" si="8"/>
        <v>135.25186567164178</v>
      </c>
      <c r="V229" t="s">
        <v>640</v>
      </c>
      <c r="W229" s="32">
        <v>15</v>
      </c>
      <c r="X229" s="32" t="s">
        <v>80</v>
      </c>
      <c r="AD229" s="1">
        <v>40707542410</v>
      </c>
      <c r="AN229">
        <v>30</v>
      </c>
      <c r="AO229" t="s">
        <v>81</v>
      </c>
    </row>
    <row r="230" spans="1:41" ht="105" x14ac:dyDescent="0.25">
      <c r="A230" s="2">
        <v>40707542427</v>
      </c>
      <c r="B230" t="s">
        <v>71</v>
      </c>
      <c r="C230" t="s">
        <v>72</v>
      </c>
      <c r="D230" t="s">
        <v>732</v>
      </c>
      <c r="E230" t="s">
        <v>733</v>
      </c>
      <c r="F230">
        <v>316210</v>
      </c>
      <c r="G230" s="35" t="s">
        <v>718</v>
      </c>
      <c r="H230" s="31" t="s">
        <v>734</v>
      </c>
      <c r="J230" t="s">
        <v>77</v>
      </c>
      <c r="M230">
        <v>180</v>
      </c>
      <c r="P230" t="s">
        <v>78</v>
      </c>
      <c r="Q230" s="55">
        <v>162.72727272727272</v>
      </c>
      <c r="R230" s="32">
        <v>89.5</v>
      </c>
      <c r="S230" s="33">
        <v>0.33</v>
      </c>
      <c r="T230" s="34">
        <f t="shared" si="7"/>
        <v>133.58208955223881</v>
      </c>
      <c r="U230" s="34">
        <f t="shared" si="8"/>
        <v>135.25186567164178</v>
      </c>
      <c r="V230" t="s">
        <v>640</v>
      </c>
      <c r="W230" s="32">
        <v>15</v>
      </c>
      <c r="X230" s="32" t="s">
        <v>80</v>
      </c>
      <c r="AD230" s="1">
        <v>40707542427</v>
      </c>
      <c r="AN230">
        <v>30</v>
      </c>
      <c r="AO230" t="s">
        <v>81</v>
      </c>
    </row>
    <row r="231" spans="1:41" ht="105" x14ac:dyDescent="0.25">
      <c r="A231" s="2">
        <v>98681668084</v>
      </c>
      <c r="B231" t="s">
        <v>71</v>
      </c>
      <c r="C231" t="s">
        <v>72</v>
      </c>
      <c r="D231" t="s">
        <v>735</v>
      </c>
      <c r="E231" t="s">
        <v>736</v>
      </c>
      <c r="F231">
        <v>316210</v>
      </c>
      <c r="G231" s="35" t="s">
        <v>718</v>
      </c>
      <c r="H231" s="31" t="s">
        <v>737</v>
      </c>
      <c r="J231" t="s">
        <v>77</v>
      </c>
      <c r="M231">
        <v>180</v>
      </c>
      <c r="P231" t="s">
        <v>78</v>
      </c>
      <c r="Q231" s="55">
        <v>162.72727272727272</v>
      </c>
      <c r="R231" s="32">
        <v>89.5</v>
      </c>
      <c r="S231" s="33">
        <v>0.33</v>
      </c>
      <c r="T231" s="34">
        <f t="shared" si="7"/>
        <v>133.58208955223881</v>
      </c>
      <c r="U231" s="34">
        <f t="shared" si="8"/>
        <v>135.25186567164178</v>
      </c>
      <c r="V231" t="s">
        <v>640</v>
      </c>
      <c r="W231" s="32">
        <v>15</v>
      </c>
      <c r="X231" s="32" t="s">
        <v>80</v>
      </c>
      <c r="AD231" s="1">
        <v>98681668084</v>
      </c>
      <c r="AN231">
        <v>30</v>
      </c>
      <c r="AO231" t="s">
        <v>81</v>
      </c>
    </row>
    <row r="232" spans="1:41" ht="105" x14ac:dyDescent="0.25">
      <c r="A232" s="2">
        <v>98681667834</v>
      </c>
      <c r="B232" t="s">
        <v>71</v>
      </c>
      <c r="C232" t="s">
        <v>72</v>
      </c>
      <c r="D232" t="s">
        <v>738</v>
      </c>
      <c r="E232" t="s">
        <v>739</v>
      </c>
      <c r="F232">
        <v>316210</v>
      </c>
      <c r="G232" s="35" t="s">
        <v>718</v>
      </c>
      <c r="H232" s="31" t="s">
        <v>740</v>
      </c>
      <c r="J232" t="s">
        <v>77</v>
      </c>
      <c r="M232">
        <v>180</v>
      </c>
      <c r="P232" t="s">
        <v>78</v>
      </c>
      <c r="Q232" s="55">
        <v>162.72727272727272</v>
      </c>
      <c r="R232" s="32">
        <v>89.5</v>
      </c>
      <c r="S232" s="33">
        <v>0.33</v>
      </c>
      <c r="T232" s="34">
        <f t="shared" si="7"/>
        <v>133.58208955223881</v>
      </c>
      <c r="U232" s="34">
        <f t="shared" si="8"/>
        <v>135.25186567164178</v>
      </c>
      <c r="V232" t="s">
        <v>640</v>
      </c>
      <c r="W232" s="32">
        <v>15</v>
      </c>
      <c r="X232" s="32" t="s">
        <v>80</v>
      </c>
      <c r="AD232" s="1">
        <v>98681667834</v>
      </c>
      <c r="AN232">
        <v>30</v>
      </c>
      <c r="AO232" t="s">
        <v>81</v>
      </c>
    </row>
    <row r="233" spans="1:41" ht="105" x14ac:dyDescent="0.25">
      <c r="A233" s="2">
        <v>98681668091</v>
      </c>
      <c r="B233" t="s">
        <v>71</v>
      </c>
      <c r="C233" t="s">
        <v>72</v>
      </c>
      <c r="D233" t="s">
        <v>741</v>
      </c>
      <c r="E233" t="s">
        <v>742</v>
      </c>
      <c r="F233">
        <v>316210</v>
      </c>
      <c r="G233" s="35" t="s">
        <v>718</v>
      </c>
      <c r="H233" s="31" t="s">
        <v>743</v>
      </c>
      <c r="J233" t="s">
        <v>77</v>
      </c>
      <c r="M233">
        <v>180</v>
      </c>
      <c r="P233" t="s">
        <v>78</v>
      </c>
      <c r="Q233" s="55">
        <v>162.72727272727272</v>
      </c>
      <c r="R233" s="32">
        <v>89.5</v>
      </c>
      <c r="S233" s="33">
        <v>0.33</v>
      </c>
      <c r="T233" s="34">
        <f t="shared" si="7"/>
        <v>133.58208955223881</v>
      </c>
      <c r="U233" s="34">
        <f t="shared" si="8"/>
        <v>135.25186567164178</v>
      </c>
      <c r="V233" t="s">
        <v>640</v>
      </c>
      <c r="W233" s="32">
        <v>15</v>
      </c>
      <c r="X233" s="32" t="s">
        <v>80</v>
      </c>
      <c r="AD233" s="1">
        <v>98681668091</v>
      </c>
      <c r="AN233">
        <v>30</v>
      </c>
      <c r="AO233" t="s">
        <v>81</v>
      </c>
    </row>
    <row r="234" spans="1:41" ht="105" x14ac:dyDescent="0.25">
      <c r="A234" s="2">
        <v>98681667841</v>
      </c>
      <c r="B234" t="s">
        <v>71</v>
      </c>
      <c r="C234" t="s">
        <v>72</v>
      </c>
      <c r="D234" t="s">
        <v>744</v>
      </c>
      <c r="E234" t="s">
        <v>745</v>
      </c>
      <c r="F234">
        <v>316210</v>
      </c>
      <c r="G234" s="35" t="s">
        <v>718</v>
      </c>
      <c r="H234" s="31" t="s">
        <v>746</v>
      </c>
      <c r="J234" t="s">
        <v>77</v>
      </c>
      <c r="M234">
        <v>180</v>
      </c>
      <c r="P234" t="s">
        <v>78</v>
      </c>
      <c r="Q234" s="55">
        <v>162.72727272727272</v>
      </c>
      <c r="R234" s="32">
        <v>89.5</v>
      </c>
      <c r="S234" s="33">
        <v>0.33</v>
      </c>
      <c r="T234" s="34">
        <f t="shared" si="7"/>
        <v>133.58208955223881</v>
      </c>
      <c r="U234" s="34">
        <f t="shared" si="8"/>
        <v>135.25186567164178</v>
      </c>
      <c r="V234" t="s">
        <v>640</v>
      </c>
      <c r="W234" s="32">
        <v>15</v>
      </c>
      <c r="X234" s="32" t="s">
        <v>80</v>
      </c>
      <c r="AD234" s="1">
        <v>98681667841</v>
      </c>
      <c r="AN234">
        <v>30</v>
      </c>
      <c r="AO234" t="s">
        <v>81</v>
      </c>
    </row>
    <row r="235" spans="1:41" ht="105" x14ac:dyDescent="0.25">
      <c r="A235" s="2">
        <v>98681668107</v>
      </c>
      <c r="B235" t="s">
        <v>71</v>
      </c>
      <c r="C235" t="s">
        <v>72</v>
      </c>
      <c r="D235" t="s">
        <v>747</v>
      </c>
      <c r="E235" t="s">
        <v>748</v>
      </c>
      <c r="F235">
        <v>316210</v>
      </c>
      <c r="G235" s="35" t="s">
        <v>718</v>
      </c>
      <c r="H235" s="31" t="s">
        <v>749</v>
      </c>
      <c r="J235" t="s">
        <v>77</v>
      </c>
      <c r="M235">
        <v>180</v>
      </c>
      <c r="P235" t="s">
        <v>78</v>
      </c>
      <c r="Q235" s="55">
        <v>162.72727272727272</v>
      </c>
      <c r="R235" s="32">
        <v>89.5</v>
      </c>
      <c r="S235" s="33">
        <v>0.33</v>
      </c>
      <c r="T235" s="34">
        <f t="shared" si="7"/>
        <v>133.58208955223881</v>
      </c>
      <c r="U235" s="34">
        <f t="shared" si="8"/>
        <v>135.25186567164178</v>
      </c>
      <c r="V235" t="s">
        <v>640</v>
      </c>
      <c r="W235" s="32">
        <v>15</v>
      </c>
      <c r="X235" s="32" t="s">
        <v>80</v>
      </c>
      <c r="AD235" s="1">
        <v>98681668107</v>
      </c>
      <c r="AN235">
        <v>30</v>
      </c>
      <c r="AO235" t="s">
        <v>81</v>
      </c>
    </row>
    <row r="236" spans="1:41" ht="105" x14ac:dyDescent="0.25">
      <c r="A236" s="2">
        <v>98681667858</v>
      </c>
      <c r="B236" t="s">
        <v>71</v>
      </c>
      <c r="C236" t="s">
        <v>72</v>
      </c>
      <c r="D236" t="s">
        <v>750</v>
      </c>
      <c r="E236" t="s">
        <v>751</v>
      </c>
      <c r="F236">
        <v>316210</v>
      </c>
      <c r="G236" s="35" t="s">
        <v>718</v>
      </c>
      <c r="H236" s="31" t="s">
        <v>752</v>
      </c>
      <c r="J236" t="s">
        <v>77</v>
      </c>
      <c r="M236">
        <v>180</v>
      </c>
      <c r="P236" t="s">
        <v>78</v>
      </c>
      <c r="Q236" s="55">
        <v>162.72727272727272</v>
      </c>
      <c r="R236" s="32">
        <v>89.5</v>
      </c>
      <c r="S236" s="33">
        <v>0.33</v>
      </c>
      <c r="T236" s="34">
        <f t="shared" si="7"/>
        <v>133.58208955223881</v>
      </c>
      <c r="U236" s="34">
        <f t="shared" si="8"/>
        <v>135.25186567164178</v>
      </c>
      <c r="V236" t="s">
        <v>640</v>
      </c>
      <c r="W236" s="32">
        <v>15</v>
      </c>
      <c r="X236" s="32" t="s">
        <v>80</v>
      </c>
      <c r="AD236" s="1">
        <v>98681667858</v>
      </c>
      <c r="AN236">
        <v>30</v>
      </c>
      <c r="AO236" t="s">
        <v>81</v>
      </c>
    </row>
    <row r="237" spans="1:41" ht="105" x14ac:dyDescent="0.25">
      <c r="A237" s="2">
        <v>98681668114</v>
      </c>
      <c r="B237" t="s">
        <v>71</v>
      </c>
      <c r="C237" t="s">
        <v>72</v>
      </c>
      <c r="D237" t="s">
        <v>753</v>
      </c>
      <c r="E237" t="s">
        <v>754</v>
      </c>
      <c r="F237">
        <v>316210</v>
      </c>
      <c r="G237" s="35" t="s">
        <v>718</v>
      </c>
      <c r="H237" s="31" t="s">
        <v>755</v>
      </c>
      <c r="J237" t="s">
        <v>77</v>
      </c>
      <c r="M237">
        <v>180</v>
      </c>
      <c r="P237" t="s">
        <v>78</v>
      </c>
      <c r="Q237" s="55">
        <v>162.72727272727272</v>
      </c>
      <c r="R237" s="32">
        <v>89.5</v>
      </c>
      <c r="S237" s="33">
        <v>0.33</v>
      </c>
      <c r="T237" s="34">
        <f t="shared" si="7"/>
        <v>133.58208955223881</v>
      </c>
      <c r="U237" s="34">
        <f t="shared" si="8"/>
        <v>135.25186567164178</v>
      </c>
      <c r="V237" t="s">
        <v>640</v>
      </c>
      <c r="W237" s="32">
        <v>15</v>
      </c>
      <c r="X237" s="32" t="s">
        <v>80</v>
      </c>
      <c r="AD237" s="1">
        <v>98681668114</v>
      </c>
      <c r="AN237">
        <v>30</v>
      </c>
      <c r="AO237" t="s">
        <v>81</v>
      </c>
    </row>
    <row r="238" spans="1:41" ht="105" x14ac:dyDescent="0.25">
      <c r="A238" s="2">
        <v>98681667865</v>
      </c>
      <c r="B238" t="s">
        <v>71</v>
      </c>
      <c r="C238" t="s">
        <v>72</v>
      </c>
      <c r="D238" t="s">
        <v>756</v>
      </c>
      <c r="E238" t="s">
        <v>757</v>
      </c>
      <c r="F238">
        <v>316210</v>
      </c>
      <c r="G238" s="35" t="s">
        <v>718</v>
      </c>
      <c r="H238" s="31" t="s">
        <v>758</v>
      </c>
      <c r="J238" t="s">
        <v>77</v>
      </c>
      <c r="M238">
        <v>180</v>
      </c>
      <c r="P238" t="s">
        <v>78</v>
      </c>
      <c r="Q238" s="55">
        <v>162.72727272727272</v>
      </c>
      <c r="R238" s="32">
        <v>89.5</v>
      </c>
      <c r="S238" s="33">
        <v>0.33</v>
      </c>
      <c r="T238" s="34">
        <f t="shared" si="7"/>
        <v>133.58208955223881</v>
      </c>
      <c r="U238" s="34">
        <f t="shared" si="8"/>
        <v>135.25186567164178</v>
      </c>
      <c r="V238" t="s">
        <v>640</v>
      </c>
      <c r="W238" s="32">
        <v>15</v>
      </c>
      <c r="X238" s="32" t="s">
        <v>80</v>
      </c>
      <c r="AD238" s="1">
        <v>98681667865</v>
      </c>
      <c r="AN238">
        <v>30</v>
      </c>
      <c r="AO238" t="s">
        <v>81</v>
      </c>
    </row>
    <row r="239" spans="1:41" ht="105" x14ac:dyDescent="0.25">
      <c r="A239" s="2">
        <v>98681668121</v>
      </c>
      <c r="B239" t="s">
        <v>71</v>
      </c>
      <c r="C239" t="s">
        <v>72</v>
      </c>
      <c r="D239" t="s">
        <v>759</v>
      </c>
      <c r="E239" t="s">
        <v>760</v>
      </c>
      <c r="F239">
        <v>316210</v>
      </c>
      <c r="G239" s="35" t="s">
        <v>718</v>
      </c>
      <c r="H239" s="31" t="s">
        <v>761</v>
      </c>
      <c r="J239" t="s">
        <v>77</v>
      </c>
      <c r="M239">
        <v>180</v>
      </c>
      <c r="P239" t="s">
        <v>78</v>
      </c>
      <c r="Q239" s="55">
        <v>162.72727272727272</v>
      </c>
      <c r="R239" s="32">
        <v>89.5</v>
      </c>
      <c r="S239" s="33">
        <v>0.33</v>
      </c>
      <c r="T239" s="34">
        <f t="shared" si="7"/>
        <v>133.58208955223881</v>
      </c>
      <c r="U239" s="34">
        <f t="shared" si="8"/>
        <v>135.25186567164178</v>
      </c>
      <c r="V239" t="s">
        <v>640</v>
      </c>
      <c r="W239" s="32">
        <v>15</v>
      </c>
      <c r="X239" s="32" t="s">
        <v>80</v>
      </c>
      <c r="AD239" s="1">
        <v>98681668121</v>
      </c>
      <c r="AN239">
        <v>30</v>
      </c>
      <c r="AO239" t="s">
        <v>81</v>
      </c>
    </row>
    <row r="240" spans="1:41" ht="105" x14ac:dyDescent="0.25">
      <c r="A240" s="2">
        <v>98681667872</v>
      </c>
      <c r="B240" t="s">
        <v>71</v>
      </c>
      <c r="C240" t="s">
        <v>72</v>
      </c>
      <c r="D240" t="s">
        <v>762</v>
      </c>
      <c r="E240" t="s">
        <v>763</v>
      </c>
      <c r="F240">
        <v>316210</v>
      </c>
      <c r="G240" s="35" t="s">
        <v>718</v>
      </c>
      <c r="H240" s="31" t="s">
        <v>764</v>
      </c>
      <c r="J240" t="s">
        <v>77</v>
      </c>
      <c r="M240">
        <v>180</v>
      </c>
      <c r="P240" t="s">
        <v>78</v>
      </c>
      <c r="Q240" s="55">
        <v>162.72727272727272</v>
      </c>
      <c r="R240" s="32">
        <v>89.5</v>
      </c>
      <c r="S240" s="33">
        <v>0.33</v>
      </c>
      <c r="T240" s="34">
        <f t="shared" si="7"/>
        <v>133.58208955223881</v>
      </c>
      <c r="U240" s="34">
        <f t="shared" si="8"/>
        <v>135.25186567164178</v>
      </c>
      <c r="V240" t="s">
        <v>640</v>
      </c>
      <c r="W240" s="32">
        <v>15</v>
      </c>
      <c r="X240" s="32" t="s">
        <v>80</v>
      </c>
      <c r="AD240" s="1">
        <v>98681667872</v>
      </c>
      <c r="AN240">
        <v>30</v>
      </c>
      <c r="AO240" t="s">
        <v>81</v>
      </c>
    </row>
    <row r="241" spans="1:41" ht="105" x14ac:dyDescent="0.25">
      <c r="A241" s="2">
        <v>98681668138</v>
      </c>
      <c r="B241" t="s">
        <v>71</v>
      </c>
      <c r="C241" t="s">
        <v>72</v>
      </c>
      <c r="D241" t="s">
        <v>765</v>
      </c>
      <c r="E241" t="s">
        <v>766</v>
      </c>
      <c r="F241">
        <v>316210</v>
      </c>
      <c r="G241" s="35" t="s">
        <v>718</v>
      </c>
      <c r="H241" s="31" t="s">
        <v>767</v>
      </c>
      <c r="J241" t="s">
        <v>77</v>
      </c>
      <c r="M241">
        <v>180</v>
      </c>
      <c r="P241" t="s">
        <v>78</v>
      </c>
      <c r="Q241" s="55">
        <v>162.72727272727272</v>
      </c>
      <c r="R241" s="32">
        <v>89.5</v>
      </c>
      <c r="S241" s="33">
        <v>0.33</v>
      </c>
      <c r="T241" s="34">
        <f t="shared" si="7"/>
        <v>133.58208955223881</v>
      </c>
      <c r="U241" s="34">
        <f t="shared" si="8"/>
        <v>135.25186567164178</v>
      </c>
      <c r="V241" t="s">
        <v>640</v>
      </c>
      <c r="W241" s="32">
        <v>15</v>
      </c>
      <c r="X241" s="32" t="s">
        <v>80</v>
      </c>
      <c r="AD241" s="1">
        <v>98681668138</v>
      </c>
      <c r="AN241">
        <v>30</v>
      </c>
      <c r="AO241" t="s">
        <v>81</v>
      </c>
    </row>
    <row r="242" spans="1:41" ht="105" x14ac:dyDescent="0.25">
      <c r="A242" s="2">
        <v>98681667889</v>
      </c>
      <c r="B242" t="s">
        <v>71</v>
      </c>
      <c r="C242" t="s">
        <v>72</v>
      </c>
      <c r="D242" t="s">
        <v>768</v>
      </c>
      <c r="E242" t="s">
        <v>769</v>
      </c>
      <c r="F242">
        <v>316210</v>
      </c>
      <c r="G242" s="35" t="s">
        <v>718</v>
      </c>
      <c r="H242" s="31" t="s">
        <v>770</v>
      </c>
      <c r="J242" t="s">
        <v>77</v>
      </c>
      <c r="M242">
        <v>180</v>
      </c>
      <c r="P242" t="s">
        <v>78</v>
      </c>
      <c r="Q242" s="55">
        <v>162.72727272727272</v>
      </c>
      <c r="R242" s="32">
        <v>89.5</v>
      </c>
      <c r="S242" s="33">
        <v>0.33</v>
      </c>
      <c r="T242" s="34">
        <f t="shared" si="7"/>
        <v>133.58208955223881</v>
      </c>
      <c r="U242" s="34">
        <f t="shared" si="8"/>
        <v>135.25186567164178</v>
      </c>
      <c r="V242" t="s">
        <v>640</v>
      </c>
      <c r="W242" s="32">
        <v>15</v>
      </c>
      <c r="X242" s="32" t="s">
        <v>80</v>
      </c>
      <c r="AD242" s="1">
        <v>98681667889</v>
      </c>
      <c r="AN242">
        <v>30</v>
      </c>
      <c r="AO242" t="s">
        <v>81</v>
      </c>
    </row>
    <row r="243" spans="1:41" ht="105" x14ac:dyDescent="0.25">
      <c r="A243" s="2">
        <v>98681668145</v>
      </c>
      <c r="B243" t="s">
        <v>71</v>
      </c>
      <c r="C243" t="s">
        <v>72</v>
      </c>
      <c r="D243" t="s">
        <v>771</v>
      </c>
      <c r="E243" t="s">
        <v>772</v>
      </c>
      <c r="F243">
        <v>316210</v>
      </c>
      <c r="G243" s="35" t="s">
        <v>718</v>
      </c>
      <c r="H243" s="31" t="s">
        <v>773</v>
      </c>
      <c r="J243" t="s">
        <v>77</v>
      </c>
      <c r="M243">
        <v>180</v>
      </c>
      <c r="P243" t="s">
        <v>78</v>
      </c>
      <c r="Q243" s="55">
        <v>162.72727272727272</v>
      </c>
      <c r="R243" s="32">
        <v>89.5</v>
      </c>
      <c r="S243" s="33">
        <v>0.33</v>
      </c>
      <c r="T243" s="34">
        <f t="shared" si="7"/>
        <v>133.58208955223881</v>
      </c>
      <c r="U243" s="34">
        <f t="shared" si="8"/>
        <v>135.25186567164178</v>
      </c>
      <c r="V243" t="s">
        <v>640</v>
      </c>
      <c r="W243" s="32">
        <v>15</v>
      </c>
      <c r="X243" s="32" t="s">
        <v>80</v>
      </c>
      <c r="AD243" s="1">
        <v>98681668145</v>
      </c>
      <c r="AN243">
        <v>30</v>
      </c>
      <c r="AO243" t="s">
        <v>81</v>
      </c>
    </row>
    <row r="244" spans="1:41" ht="105" x14ac:dyDescent="0.25">
      <c r="A244" s="2">
        <v>98681668008</v>
      </c>
      <c r="B244" t="s">
        <v>71</v>
      </c>
      <c r="C244" t="s">
        <v>72</v>
      </c>
      <c r="D244" t="s">
        <v>774</v>
      </c>
      <c r="E244" t="s">
        <v>775</v>
      </c>
      <c r="F244">
        <v>316210</v>
      </c>
      <c r="G244" s="35" t="s">
        <v>718</v>
      </c>
      <c r="H244" s="31" t="s">
        <v>776</v>
      </c>
      <c r="J244" t="s">
        <v>77</v>
      </c>
      <c r="M244">
        <v>180</v>
      </c>
      <c r="P244" t="s">
        <v>78</v>
      </c>
      <c r="Q244" s="55">
        <v>162.72727272727272</v>
      </c>
      <c r="R244" s="32">
        <v>89.5</v>
      </c>
      <c r="S244" s="33">
        <v>0.33</v>
      </c>
      <c r="T244" s="34">
        <f t="shared" si="7"/>
        <v>133.58208955223881</v>
      </c>
      <c r="U244" s="34">
        <f t="shared" si="8"/>
        <v>135.25186567164178</v>
      </c>
      <c r="V244" t="s">
        <v>640</v>
      </c>
      <c r="W244" s="32">
        <v>15</v>
      </c>
      <c r="X244" s="32" t="s">
        <v>80</v>
      </c>
      <c r="AD244" s="1">
        <v>98681668008</v>
      </c>
      <c r="AN244">
        <v>30</v>
      </c>
      <c r="AO244" t="s">
        <v>81</v>
      </c>
    </row>
    <row r="245" spans="1:41" ht="105" x14ac:dyDescent="0.25">
      <c r="A245" s="2">
        <v>98681668152</v>
      </c>
      <c r="B245" t="s">
        <v>71</v>
      </c>
      <c r="C245" t="s">
        <v>72</v>
      </c>
      <c r="D245" t="s">
        <v>777</v>
      </c>
      <c r="E245" t="s">
        <v>778</v>
      </c>
      <c r="F245">
        <v>316210</v>
      </c>
      <c r="G245" s="35" t="s">
        <v>718</v>
      </c>
      <c r="H245" s="31" t="s">
        <v>779</v>
      </c>
      <c r="J245" t="s">
        <v>77</v>
      </c>
      <c r="M245">
        <v>180</v>
      </c>
      <c r="P245" t="s">
        <v>78</v>
      </c>
      <c r="Q245" s="55">
        <v>162.72727272727272</v>
      </c>
      <c r="R245" s="32">
        <v>89.5</v>
      </c>
      <c r="S245" s="33">
        <v>0.33</v>
      </c>
      <c r="T245" s="34">
        <f t="shared" si="7"/>
        <v>133.58208955223881</v>
      </c>
      <c r="U245" s="34">
        <f t="shared" si="8"/>
        <v>135.25186567164178</v>
      </c>
      <c r="V245" t="s">
        <v>640</v>
      </c>
      <c r="W245" s="32">
        <v>15</v>
      </c>
      <c r="X245" s="32" t="s">
        <v>80</v>
      </c>
      <c r="AD245" s="1">
        <v>98681668152</v>
      </c>
      <c r="AN245">
        <v>30</v>
      </c>
      <c r="AO245" t="s">
        <v>81</v>
      </c>
    </row>
    <row r="246" spans="1:41" ht="105" x14ac:dyDescent="0.25">
      <c r="A246" s="2">
        <v>98681668022</v>
      </c>
      <c r="B246" t="s">
        <v>71</v>
      </c>
      <c r="C246" t="s">
        <v>72</v>
      </c>
      <c r="D246" t="s">
        <v>780</v>
      </c>
      <c r="E246" t="s">
        <v>781</v>
      </c>
      <c r="F246">
        <v>316210</v>
      </c>
      <c r="G246" s="35" t="s">
        <v>718</v>
      </c>
      <c r="H246" s="31" t="s">
        <v>782</v>
      </c>
      <c r="J246" t="s">
        <v>77</v>
      </c>
      <c r="M246">
        <v>180</v>
      </c>
      <c r="P246" t="s">
        <v>78</v>
      </c>
      <c r="Q246" s="55">
        <v>162.72727272727272</v>
      </c>
      <c r="R246" s="32">
        <v>89.5</v>
      </c>
      <c r="S246" s="33">
        <v>0.33</v>
      </c>
      <c r="T246" s="34">
        <f t="shared" si="7"/>
        <v>133.58208955223881</v>
      </c>
      <c r="U246" s="34">
        <f t="shared" si="8"/>
        <v>135.25186567164178</v>
      </c>
      <c r="V246" t="s">
        <v>640</v>
      </c>
      <c r="W246" s="32">
        <v>15</v>
      </c>
      <c r="X246" s="32" t="s">
        <v>80</v>
      </c>
      <c r="AD246" s="1">
        <v>98681668022</v>
      </c>
      <c r="AN246">
        <v>30</v>
      </c>
      <c r="AO246" t="s">
        <v>81</v>
      </c>
    </row>
    <row r="247" spans="1:41" ht="105" x14ac:dyDescent="0.25">
      <c r="A247" s="2">
        <v>98681668169</v>
      </c>
      <c r="B247" t="s">
        <v>71</v>
      </c>
      <c r="C247" t="s">
        <v>72</v>
      </c>
      <c r="D247" t="s">
        <v>783</v>
      </c>
      <c r="E247" t="s">
        <v>784</v>
      </c>
      <c r="F247">
        <v>316210</v>
      </c>
      <c r="G247" s="35" t="s">
        <v>718</v>
      </c>
      <c r="H247" s="31" t="s">
        <v>785</v>
      </c>
      <c r="J247" t="s">
        <v>77</v>
      </c>
      <c r="M247">
        <v>180</v>
      </c>
      <c r="P247" t="s">
        <v>78</v>
      </c>
      <c r="Q247" s="55">
        <v>162.72727272727272</v>
      </c>
      <c r="R247" s="32">
        <v>89.5</v>
      </c>
      <c r="S247" s="33">
        <v>0.33</v>
      </c>
      <c r="T247" s="34">
        <f t="shared" si="7"/>
        <v>133.58208955223881</v>
      </c>
      <c r="U247" s="34">
        <f t="shared" si="8"/>
        <v>135.25186567164178</v>
      </c>
      <c r="V247" t="s">
        <v>640</v>
      </c>
      <c r="W247" s="32">
        <v>15</v>
      </c>
      <c r="X247" s="32" t="s">
        <v>80</v>
      </c>
      <c r="AD247" s="1">
        <v>98681668169</v>
      </c>
      <c r="AN247">
        <v>30</v>
      </c>
      <c r="AO247" t="s">
        <v>81</v>
      </c>
    </row>
    <row r="248" spans="1:41" ht="105" x14ac:dyDescent="0.25">
      <c r="A248" s="2">
        <v>98681668039</v>
      </c>
      <c r="B248" t="s">
        <v>71</v>
      </c>
      <c r="C248" t="s">
        <v>72</v>
      </c>
      <c r="D248" t="s">
        <v>786</v>
      </c>
      <c r="E248" t="s">
        <v>787</v>
      </c>
      <c r="F248">
        <v>316210</v>
      </c>
      <c r="G248" s="35" t="s">
        <v>718</v>
      </c>
      <c r="H248" s="31" t="s">
        <v>788</v>
      </c>
      <c r="J248" t="s">
        <v>77</v>
      </c>
      <c r="M248">
        <v>180</v>
      </c>
      <c r="P248" t="s">
        <v>78</v>
      </c>
      <c r="Q248" s="55">
        <v>162.72727272727272</v>
      </c>
      <c r="R248" s="32">
        <v>89.5</v>
      </c>
      <c r="S248" s="33">
        <v>0.33</v>
      </c>
      <c r="T248" s="34">
        <f t="shared" si="7"/>
        <v>133.58208955223881</v>
      </c>
      <c r="U248" s="34">
        <f t="shared" si="8"/>
        <v>135.25186567164178</v>
      </c>
      <c r="V248" t="s">
        <v>640</v>
      </c>
      <c r="W248" s="32">
        <v>15</v>
      </c>
      <c r="X248" s="32" t="s">
        <v>80</v>
      </c>
      <c r="AD248" s="1">
        <v>98681668039</v>
      </c>
      <c r="AN248">
        <v>30</v>
      </c>
      <c r="AO248" t="s">
        <v>81</v>
      </c>
    </row>
    <row r="249" spans="1:41" ht="105" x14ac:dyDescent="0.25">
      <c r="A249" s="2">
        <v>98681668176</v>
      </c>
      <c r="B249" t="s">
        <v>71</v>
      </c>
      <c r="C249" t="s">
        <v>72</v>
      </c>
      <c r="D249" t="s">
        <v>789</v>
      </c>
      <c r="E249" t="s">
        <v>790</v>
      </c>
      <c r="F249">
        <v>316210</v>
      </c>
      <c r="G249" s="35" t="s">
        <v>718</v>
      </c>
      <c r="H249" s="31" t="s">
        <v>791</v>
      </c>
      <c r="J249" t="s">
        <v>77</v>
      </c>
      <c r="M249">
        <v>180</v>
      </c>
      <c r="P249" t="s">
        <v>78</v>
      </c>
      <c r="Q249" s="55">
        <v>162.72727272727272</v>
      </c>
      <c r="R249" s="32">
        <v>89.5</v>
      </c>
      <c r="S249" s="33">
        <v>0.33</v>
      </c>
      <c r="T249" s="34">
        <f t="shared" si="7"/>
        <v>133.58208955223881</v>
      </c>
      <c r="U249" s="34">
        <f t="shared" si="8"/>
        <v>135.25186567164178</v>
      </c>
      <c r="V249" t="s">
        <v>640</v>
      </c>
      <c r="W249" s="32">
        <v>15</v>
      </c>
      <c r="X249" s="32" t="s">
        <v>80</v>
      </c>
      <c r="AD249" s="1">
        <v>98681668176</v>
      </c>
      <c r="AN249">
        <v>30</v>
      </c>
      <c r="AO249" t="s">
        <v>81</v>
      </c>
    </row>
    <row r="250" spans="1:41" ht="105" x14ac:dyDescent="0.25">
      <c r="A250" s="2">
        <v>98681668046</v>
      </c>
      <c r="B250" t="s">
        <v>71</v>
      </c>
      <c r="C250" t="s">
        <v>72</v>
      </c>
      <c r="D250" t="s">
        <v>792</v>
      </c>
      <c r="E250" t="s">
        <v>793</v>
      </c>
      <c r="F250">
        <v>316210</v>
      </c>
      <c r="G250" s="35" t="s">
        <v>718</v>
      </c>
      <c r="H250" s="31" t="s">
        <v>794</v>
      </c>
      <c r="J250" t="s">
        <v>77</v>
      </c>
      <c r="M250">
        <v>180</v>
      </c>
      <c r="P250" t="s">
        <v>78</v>
      </c>
      <c r="Q250" s="55">
        <v>162.72727272727272</v>
      </c>
      <c r="R250" s="32">
        <v>89.5</v>
      </c>
      <c r="S250" s="33">
        <v>0.33</v>
      </c>
      <c r="T250" s="34">
        <f t="shared" si="7"/>
        <v>133.58208955223881</v>
      </c>
      <c r="U250" s="34">
        <f t="shared" si="8"/>
        <v>135.25186567164178</v>
      </c>
      <c r="V250" t="s">
        <v>640</v>
      </c>
      <c r="W250" s="32">
        <v>15</v>
      </c>
      <c r="X250" s="32" t="s">
        <v>80</v>
      </c>
      <c r="AD250" s="1">
        <v>98681668046</v>
      </c>
      <c r="AN250">
        <v>30</v>
      </c>
      <c r="AO250" t="s">
        <v>81</v>
      </c>
    </row>
    <row r="251" spans="1:41" ht="105" x14ac:dyDescent="0.25">
      <c r="A251" s="2">
        <v>98681668183</v>
      </c>
      <c r="B251" t="s">
        <v>71</v>
      </c>
      <c r="C251" t="s">
        <v>72</v>
      </c>
      <c r="D251" t="s">
        <v>795</v>
      </c>
      <c r="E251" t="s">
        <v>796</v>
      </c>
      <c r="F251">
        <v>316210</v>
      </c>
      <c r="G251" s="35" t="s">
        <v>718</v>
      </c>
      <c r="H251" s="31" t="s">
        <v>797</v>
      </c>
      <c r="J251" t="s">
        <v>77</v>
      </c>
      <c r="M251">
        <v>180</v>
      </c>
      <c r="P251" t="s">
        <v>78</v>
      </c>
      <c r="Q251" s="55">
        <v>162.72727272727272</v>
      </c>
      <c r="R251" s="32">
        <v>89.5</v>
      </c>
      <c r="S251" s="33">
        <v>0.33</v>
      </c>
      <c r="T251" s="34">
        <f t="shared" si="7"/>
        <v>133.58208955223881</v>
      </c>
      <c r="U251" s="34">
        <f t="shared" si="8"/>
        <v>135.25186567164178</v>
      </c>
      <c r="V251" t="s">
        <v>640</v>
      </c>
      <c r="W251" s="32">
        <v>15</v>
      </c>
      <c r="X251" s="32" t="s">
        <v>80</v>
      </c>
      <c r="AD251" s="1">
        <v>98681668183</v>
      </c>
      <c r="AN251">
        <v>30</v>
      </c>
      <c r="AO251" t="s">
        <v>81</v>
      </c>
    </row>
    <row r="252" spans="1:41" ht="105" x14ac:dyDescent="0.25">
      <c r="A252" s="2">
        <v>98681668053</v>
      </c>
      <c r="B252" t="s">
        <v>71</v>
      </c>
      <c r="C252" t="s">
        <v>72</v>
      </c>
      <c r="D252" t="s">
        <v>798</v>
      </c>
      <c r="E252" t="s">
        <v>799</v>
      </c>
      <c r="F252">
        <v>316210</v>
      </c>
      <c r="G252" s="35" t="s">
        <v>718</v>
      </c>
      <c r="H252" s="31" t="s">
        <v>800</v>
      </c>
      <c r="J252" t="s">
        <v>77</v>
      </c>
      <c r="M252">
        <v>180</v>
      </c>
      <c r="P252" t="s">
        <v>78</v>
      </c>
      <c r="Q252" s="55">
        <v>162.72727272727272</v>
      </c>
      <c r="R252" s="32">
        <v>89.5</v>
      </c>
      <c r="S252" s="33">
        <v>0.33</v>
      </c>
      <c r="T252" s="34">
        <f t="shared" si="7"/>
        <v>133.58208955223881</v>
      </c>
      <c r="U252" s="34">
        <f t="shared" si="8"/>
        <v>135.25186567164178</v>
      </c>
      <c r="V252" t="s">
        <v>640</v>
      </c>
      <c r="W252" s="32">
        <v>15</v>
      </c>
      <c r="X252" s="32" t="s">
        <v>80</v>
      </c>
      <c r="AD252" s="1">
        <v>98681668053</v>
      </c>
      <c r="AN252">
        <v>30</v>
      </c>
      <c r="AO252" t="s">
        <v>81</v>
      </c>
    </row>
    <row r="253" spans="1:41" ht="105" x14ac:dyDescent="0.25">
      <c r="A253" s="2">
        <v>98681668305</v>
      </c>
      <c r="B253" t="s">
        <v>71</v>
      </c>
      <c r="C253" t="s">
        <v>72</v>
      </c>
      <c r="D253" t="s">
        <v>801</v>
      </c>
      <c r="E253" t="s">
        <v>802</v>
      </c>
      <c r="F253">
        <v>316210</v>
      </c>
      <c r="G253" s="35" t="s">
        <v>718</v>
      </c>
      <c r="H253" s="31" t="s">
        <v>803</v>
      </c>
      <c r="J253" t="s">
        <v>77</v>
      </c>
      <c r="M253">
        <v>180</v>
      </c>
      <c r="P253" t="s">
        <v>78</v>
      </c>
      <c r="Q253" s="55">
        <v>162.72727272727272</v>
      </c>
      <c r="R253" s="32">
        <v>89.5</v>
      </c>
      <c r="S253" s="33">
        <v>0.33</v>
      </c>
      <c r="T253" s="34">
        <f t="shared" si="7"/>
        <v>133.58208955223881</v>
      </c>
      <c r="U253" s="34">
        <f t="shared" si="8"/>
        <v>135.25186567164178</v>
      </c>
      <c r="V253" t="s">
        <v>640</v>
      </c>
      <c r="W253" s="32">
        <v>15</v>
      </c>
      <c r="X253" s="32" t="s">
        <v>80</v>
      </c>
      <c r="AD253" s="1">
        <v>98681668305</v>
      </c>
      <c r="AN253">
        <v>30</v>
      </c>
      <c r="AO253" t="s">
        <v>81</v>
      </c>
    </row>
    <row r="254" spans="1:41" ht="105" x14ac:dyDescent="0.25">
      <c r="A254" s="2">
        <v>98681668060</v>
      </c>
      <c r="B254" t="s">
        <v>71</v>
      </c>
      <c r="C254" t="s">
        <v>72</v>
      </c>
      <c r="D254" t="s">
        <v>804</v>
      </c>
      <c r="E254" t="s">
        <v>805</v>
      </c>
      <c r="F254">
        <v>316210</v>
      </c>
      <c r="G254" s="35" t="s">
        <v>718</v>
      </c>
      <c r="H254" s="31" t="s">
        <v>806</v>
      </c>
      <c r="J254" t="s">
        <v>77</v>
      </c>
      <c r="M254">
        <v>180</v>
      </c>
      <c r="P254" t="s">
        <v>78</v>
      </c>
      <c r="Q254" s="55">
        <v>162.72727272727272</v>
      </c>
      <c r="R254" s="32">
        <v>89.5</v>
      </c>
      <c r="S254" s="33">
        <v>0.33</v>
      </c>
      <c r="T254" s="34">
        <f t="shared" si="7"/>
        <v>133.58208955223881</v>
      </c>
      <c r="U254" s="34">
        <f t="shared" si="8"/>
        <v>135.25186567164178</v>
      </c>
      <c r="V254" t="s">
        <v>640</v>
      </c>
      <c r="W254" s="32">
        <v>15</v>
      </c>
      <c r="X254" s="32" t="s">
        <v>80</v>
      </c>
      <c r="AD254" s="1">
        <v>98681668060</v>
      </c>
      <c r="AN254">
        <v>30</v>
      </c>
      <c r="AO254" t="s">
        <v>81</v>
      </c>
    </row>
    <row r="255" spans="1:41" ht="105" x14ac:dyDescent="0.25">
      <c r="A255" s="2">
        <v>98681668329</v>
      </c>
      <c r="B255" t="s">
        <v>71</v>
      </c>
      <c r="C255" t="s">
        <v>72</v>
      </c>
      <c r="D255" t="s">
        <v>807</v>
      </c>
      <c r="E255" t="s">
        <v>808</v>
      </c>
      <c r="F255">
        <v>316210</v>
      </c>
      <c r="G255" s="35" t="s">
        <v>718</v>
      </c>
      <c r="H255" s="31" t="s">
        <v>809</v>
      </c>
      <c r="J255" t="s">
        <v>77</v>
      </c>
      <c r="M255">
        <v>180</v>
      </c>
      <c r="P255" t="s">
        <v>78</v>
      </c>
      <c r="Q255" s="55">
        <v>162.72727272727272</v>
      </c>
      <c r="R255" s="32">
        <v>89.5</v>
      </c>
      <c r="S255" s="33">
        <v>0.33</v>
      </c>
      <c r="T255" s="34">
        <f t="shared" si="7"/>
        <v>133.58208955223881</v>
      </c>
      <c r="U255" s="34">
        <f t="shared" si="8"/>
        <v>135.25186567164178</v>
      </c>
      <c r="V255" t="s">
        <v>640</v>
      </c>
      <c r="W255" s="32">
        <v>15</v>
      </c>
      <c r="X255" s="32" t="s">
        <v>80</v>
      </c>
      <c r="AD255" s="1">
        <v>98681668329</v>
      </c>
      <c r="AN255">
        <v>30</v>
      </c>
      <c r="AO255" t="s">
        <v>81</v>
      </c>
    </row>
    <row r="256" spans="1:41" ht="105" x14ac:dyDescent="0.25">
      <c r="A256" s="2">
        <v>98681668077</v>
      </c>
      <c r="B256" t="s">
        <v>71</v>
      </c>
      <c r="C256" t="s">
        <v>72</v>
      </c>
      <c r="D256" t="s">
        <v>810</v>
      </c>
      <c r="E256" t="s">
        <v>811</v>
      </c>
      <c r="F256">
        <v>316210</v>
      </c>
      <c r="G256" s="35" t="s">
        <v>718</v>
      </c>
      <c r="H256" s="31" t="s">
        <v>812</v>
      </c>
      <c r="J256" t="s">
        <v>77</v>
      </c>
      <c r="M256">
        <v>180</v>
      </c>
      <c r="P256" t="s">
        <v>78</v>
      </c>
      <c r="Q256" s="55">
        <v>162.72727272727272</v>
      </c>
      <c r="R256" s="32">
        <v>89.5</v>
      </c>
      <c r="S256" s="33">
        <v>0.33</v>
      </c>
      <c r="T256" s="34">
        <f t="shared" si="7"/>
        <v>133.58208955223881</v>
      </c>
      <c r="U256" s="34">
        <f t="shared" si="8"/>
        <v>135.25186567164178</v>
      </c>
      <c r="V256" t="s">
        <v>640</v>
      </c>
      <c r="W256" s="32">
        <v>15</v>
      </c>
      <c r="X256" s="32" t="s">
        <v>80</v>
      </c>
      <c r="AD256" s="1">
        <v>98681668077</v>
      </c>
      <c r="AN256">
        <v>30</v>
      </c>
      <c r="AO256" t="s">
        <v>81</v>
      </c>
    </row>
    <row r="257" spans="1:41" ht="105" x14ac:dyDescent="0.25">
      <c r="A257" s="2">
        <v>98681668336</v>
      </c>
      <c r="B257" t="s">
        <v>71</v>
      </c>
      <c r="C257" t="s">
        <v>72</v>
      </c>
      <c r="D257" t="s">
        <v>813</v>
      </c>
      <c r="E257" t="s">
        <v>814</v>
      </c>
      <c r="F257">
        <v>316210</v>
      </c>
      <c r="G257" s="35" t="s">
        <v>718</v>
      </c>
      <c r="H257" s="31" t="s">
        <v>815</v>
      </c>
      <c r="J257" t="s">
        <v>77</v>
      </c>
      <c r="M257">
        <v>180</v>
      </c>
      <c r="P257" t="s">
        <v>78</v>
      </c>
      <c r="Q257" s="55">
        <v>162.72727272727272</v>
      </c>
      <c r="R257" s="32">
        <v>89.5</v>
      </c>
      <c r="S257" s="33">
        <v>0.33</v>
      </c>
      <c r="T257" s="34">
        <f t="shared" si="7"/>
        <v>133.58208955223881</v>
      </c>
      <c r="U257" s="34">
        <f t="shared" si="8"/>
        <v>135.25186567164178</v>
      </c>
      <c r="V257" t="s">
        <v>640</v>
      </c>
      <c r="W257" s="32">
        <v>15</v>
      </c>
      <c r="X257" s="32" t="s">
        <v>80</v>
      </c>
      <c r="AD257" s="1">
        <v>98681668336</v>
      </c>
      <c r="AN257">
        <v>30</v>
      </c>
      <c r="AO257" t="s">
        <v>81</v>
      </c>
    </row>
    <row r="258" spans="1:41" ht="105" x14ac:dyDescent="0.25">
      <c r="A258" s="2">
        <v>886129881634</v>
      </c>
      <c r="B258" t="s">
        <v>71</v>
      </c>
      <c r="C258" t="s">
        <v>72</v>
      </c>
      <c r="D258" t="s">
        <v>816</v>
      </c>
      <c r="E258" t="s">
        <v>817</v>
      </c>
      <c r="F258">
        <v>316210</v>
      </c>
      <c r="G258" s="35" t="s">
        <v>718</v>
      </c>
      <c r="H258" s="31" t="s">
        <v>818</v>
      </c>
      <c r="J258" t="s">
        <v>77</v>
      </c>
      <c r="M258">
        <v>180</v>
      </c>
      <c r="P258" t="s">
        <v>78</v>
      </c>
      <c r="Q258" s="55">
        <v>162.72727272727272</v>
      </c>
      <c r="R258" s="32">
        <v>89.5</v>
      </c>
      <c r="S258" s="33">
        <v>0.33</v>
      </c>
      <c r="T258" s="34">
        <f t="shared" si="7"/>
        <v>133.58208955223881</v>
      </c>
      <c r="U258" s="34">
        <f t="shared" si="8"/>
        <v>135.25186567164178</v>
      </c>
      <c r="V258" t="s">
        <v>640</v>
      </c>
      <c r="W258" s="32">
        <v>15</v>
      </c>
      <c r="X258" s="32" t="s">
        <v>80</v>
      </c>
      <c r="AD258" s="1">
        <v>886129881634</v>
      </c>
      <c r="AN258">
        <v>30</v>
      </c>
      <c r="AO258" t="s">
        <v>81</v>
      </c>
    </row>
    <row r="259" spans="1:41" ht="105" x14ac:dyDescent="0.25">
      <c r="A259" s="2">
        <v>886129881641</v>
      </c>
      <c r="B259" t="s">
        <v>71</v>
      </c>
      <c r="C259" t="s">
        <v>72</v>
      </c>
      <c r="D259" t="s">
        <v>819</v>
      </c>
      <c r="E259" t="s">
        <v>820</v>
      </c>
      <c r="F259">
        <v>316210</v>
      </c>
      <c r="G259" s="35" t="s">
        <v>718</v>
      </c>
      <c r="H259" s="31" t="s">
        <v>821</v>
      </c>
      <c r="J259" t="s">
        <v>77</v>
      </c>
      <c r="M259">
        <v>180</v>
      </c>
      <c r="P259" t="s">
        <v>78</v>
      </c>
      <c r="Q259" s="55">
        <v>162.72727272727272</v>
      </c>
      <c r="R259" s="32">
        <v>89.5</v>
      </c>
      <c r="S259" s="33">
        <v>0.33</v>
      </c>
      <c r="T259" s="34">
        <f t="shared" si="7"/>
        <v>133.58208955223881</v>
      </c>
      <c r="U259" s="34">
        <f t="shared" si="8"/>
        <v>135.25186567164178</v>
      </c>
      <c r="V259" t="s">
        <v>640</v>
      </c>
      <c r="W259" s="32">
        <v>15</v>
      </c>
      <c r="X259" s="32" t="s">
        <v>80</v>
      </c>
      <c r="AD259" s="1">
        <v>886129881641</v>
      </c>
      <c r="AN259">
        <v>30</v>
      </c>
      <c r="AO259" t="s">
        <v>81</v>
      </c>
    </row>
    <row r="260" spans="1:41" ht="45" x14ac:dyDescent="0.25">
      <c r="A260" s="2">
        <v>195021762751</v>
      </c>
      <c r="B260" t="s">
        <v>71</v>
      </c>
      <c r="C260" t="s">
        <v>72</v>
      </c>
      <c r="D260" t="s">
        <v>822</v>
      </c>
      <c r="E260" t="s">
        <v>823</v>
      </c>
      <c r="F260">
        <v>316210</v>
      </c>
      <c r="G260" s="35" t="s">
        <v>824</v>
      </c>
      <c r="H260" s="31" t="s">
        <v>825</v>
      </c>
      <c r="J260" t="s">
        <v>77</v>
      </c>
      <c r="M260">
        <v>130</v>
      </c>
      <c r="P260" t="s">
        <v>78</v>
      </c>
      <c r="Q260" s="55">
        <v>127.27272727272727</v>
      </c>
      <c r="R260" s="32">
        <v>70</v>
      </c>
      <c r="S260" s="33">
        <v>0.33</v>
      </c>
      <c r="T260" s="34">
        <f t="shared" ref="T260:T323" si="9">R260/(1-S260)</f>
        <v>104.47761194029852</v>
      </c>
      <c r="U260" s="34">
        <f t="shared" ref="U260:U323" si="10">T260*(1+1.25%)</f>
        <v>105.78358208955224</v>
      </c>
      <c r="V260" t="s">
        <v>640</v>
      </c>
      <c r="W260" s="32">
        <v>15</v>
      </c>
      <c r="X260" s="32" t="s">
        <v>80</v>
      </c>
      <c r="AD260" s="1">
        <v>195021762751</v>
      </c>
      <c r="AN260">
        <v>30</v>
      </c>
      <c r="AO260" t="s">
        <v>81</v>
      </c>
    </row>
    <row r="261" spans="1:41" ht="45" x14ac:dyDescent="0.25">
      <c r="A261" s="2">
        <v>195021761426</v>
      </c>
      <c r="B261" t="s">
        <v>71</v>
      </c>
      <c r="C261" t="s">
        <v>72</v>
      </c>
      <c r="D261" t="s">
        <v>826</v>
      </c>
      <c r="E261" t="s">
        <v>827</v>
      </c>
      <c r="F261">
        <v>316210</v>
      </c>
      <c r="G261" s="35" t="s">
        <v>824</v>
      </c>
      <c r="H261" s="31" t="s">
        <v>828</v>
      </c>
      <c r="J261" t="s">
        <v>77</v>
      </c>
      <c r="M261">
        <v>130</v>
      </c>
      <c r="P261" t="s">
        <v>78</v>
      </c>
      <c r="Q261" s="55">
        <v>127.27272727272727</v>
      </c>
      <c r="R261" s="32">
        <v>70</v>
      </c>
      <c r="S261" s="33">
        <v>0.33</v>
      </c>
      <c r="T261" s="34">
        <f t="shared" si="9"/>
        <v>104.47761194029852</v>
      </c>
      <c r="U261" s="34">
        <f t="shared" si="10"/>
        <v>105.78358208955224</v>
      </c>
      <c r="V261" t="s">
        <v>640</v>
      </c>
      <c r="W261" s="32">
        <v>15</v>
      </c>
      <c r="X261" s="32" t="s">
        <v>80</v>
      </c>
      <c r="AD261" s="1">
        <v>195021761426</v>
      </c>
      <c r="AN261">
        <v>30</v>
      </c>
      <c r="AO261" t="s">
        <v>81</v>
      </c>
    </row>
    <row r="262" spans="1:41" ht="45" x14ac:dyDescent="0.25">
      <c r="A262" s="2">
        <v>195021762768</v>
      </c>
      <c r="B262" t="s">
        <v>71</v>
      </c>
      <c r="C262" t="s">
        <v>72</v>
      </c>
      <c r="D262" t="s">
        <v>829</v>
      </c>
      <c r="E262" t="s">
        <v>830</v>
      </c>
      <c r="F262">
        <v>316210</v>
      </c>
      <c r="G262" s="35" t="s">
        <v>824</v>
      </c>
      <c r="H262" s="31" t="s">
        <v>831</v>
      </c>
      <c r="J262" t="s">
        <v>77</v>
      </c>
      <c r="M262">
        <v>130</v>
      </c>
      <c r="P262" t="s">
        <v>78</v>
      </c>
      <c r="Q262" s="55">
        <v>127.27272727272727</v>
      </c>
      <c r="R262" s="32">
        <v>70</v>
      </c>
      <c r="S262" s="33">
        <v>0.33</v>
      </c>
      <c r="T262" s="34">
        <f t="shared" si="9"/>
        <v>104.47761194029852</v>
      </c>
      <c r="U262" s="34">
        <f t="shared" si="10"/>
        <v>105.78358208955224</v>
      </c>
      <c r="V262" t="s">
        <v>640</v>
      </c>
      <c r="W262" s="32">
        <v>15</v>
      </c>
      <c r="X262" s="32" t="s">
        <v>80</v>
      </c>
      <c r="AD262" s="1">
        <v>195021762768</v>
      </c>
      <c r="AN262">
        <v>30</v>
      </c>
      <c r="AO262" t="s">
        <v>81</v>
      </c>
    </row>
    <row r="263" spans="1:41" ht="45" x14ac:dyDescent="0.25">
      <c r="A263" s="2">
        <v>195021761433</v>
      </c>
      <c r="B263" t="s">
        <v>71</v>
      </c>
      <c r="C263" t="s">
        <v>72</v>
      </c>
      <c r="D263" t="s">
        <v>832</v>
      </c>
      <c r="E263" t="s">
        <v>833</v>
      </c>
      <c r="F263">
        <v>316210</v>
      </c>
      <c r="G263" s="35" t="s">
        <v>824</v>
      </c>
      <c r="H263" s="31" t="s">
        <v>834</v>
      </c>
      <c r="J263" t="s">
        <v>77</v>
      </c>
      <c r="M263">
        <v>130</v>
      </c>
      <c r="P263" t="s">
        <v>78</v>
      </c>
      <c r="Q263" s="55">
        <v>127.27272727272727</v>
      </c>
      <c r="R263" s="32">
        <v>70</v>
      </c>
      <c r="S263" s="33">
        <v>0.33</v>
      </c>
      <c r="T263" s="34">
        <f t="shared" si="9"/>
        <v>104.47761194029852</v>
      </c>
      <c r="U263" s="34">
        <f t="shared" si="10"/>
        <v>105.78358208955224</v>
      </c>
      <c r="V263" t="s">
        <v>640</v>
      </c>
      <c r="W263" s="32">
        <v>15</v>
      </c>
      <c r="X263" s="32" t="s">
        <v>80</v>
      </c>
      <c r="AD263" s="1">
        <v>195021761433</v>
      </c>
      <c r="AN263">
        <v>30</v>
      </c>
      <c r="AO263" t="s">
        <v>81</v>
      </c>
    </row>
    <row r="264" spans="1:41" ht="45" x14ac:dyDescent="0.25">
      <c r="A264" s="2">
        <v>195021762775</v>
      </c>
      <c r="B264" t="s">
        <v>71</v>
      </c>
      <c r="C264" t="s">
        <v>72</v>
      </c>
      <c r="D264" t="s">
        <v>835</v>
      </c>
      <c r="E264" t="s">
        <v>836</v>
      </c>
      <c r="F264">
        <v>316210</v>
      </c>
      <c r="G264" s="35" t="s">
        <v>824</v>
      </c>
      <c r="H264" s="31" t="s">
        <v>837</v>
      </c>
      <c r="J264" t="s">
        <v>77</v>
      </c>
      <c r="M264">
        <v>130</v>
      </c>
      <c r="P264" t="s">
        <v>78</v>
      </c>
      <c r="Q264" s="55">
        <v>127.27272727272727</v>
      </c>
      <c r="R264" s="32">
        <v>70</v>
      </c>
      <c r="S264" s="33">
        <v>0.33</v>
      </c>
      <c r="T264" s="34">
        <f t="shared" si="9"/>
        <v>104.47761194029852</v>
      </c>
      <c r="U264" s="34">
        <f t="shared" si="10"/>
        <v>105.78358208955224</v>
      </c>
      <c r="V264" t="s">
        <v>640</v>
      </c>
      <c r="W264" s="32">
        <v>15</v>
      </c>
      <c r="X264" s="32" t="s">
        <v>80</v>
      </c>
      <c r="AD264" s="1">
        <v>195021762775</v>
      </c>
      <c r="AN264">
        <v>30</v>
      </c>
      <c r="AO264" t="s">
        <v>81</v>
      </c>
    </row>
    <row r="265" spans="1:41" ht="45" x14ac:dyDescent="0.25">
      <c r="A265" s="2">
        <v>195021761440</v>
      </c>
      <c r="B265" t="s">
        <v>71</v>
      </c>
      <c r="C265" t="s">
        <v>72</v>
      </c>
      <c r="D265" t="s">
        <v>838</v>
      </c>
      <c r="E265" t="s">
        <v>839</v>
      </c>
      <c r="F265">
        <v>316210</v>
      </c>
      <c r="G265" s="35" t="s">
        <v>824</v>
      </c>
      <c r="H265" s="31" t="s">
        <v>840</v>
      </c>
      <c r="J265" t="s">
        <v>77</v>
      </c>
      <c r="M265">
        <v>130</v>
      </c>
      <c r="P265" t="s">
        <v>78</v>
      </c>
      <c r="Q265" s="55">
        <v>127.27272727272727</v>
      </c>
      <c r="R265" s="32">
        <v>70</v>
      </c>
      <c r="S265" s="33">
        <v>0.33</v>
      </c>
      <c r="T265" s="34">
        <f t="shared" si="9"/>
        <v>104.47761194029852</v>
      </c>
      <c r="U265" s="34">
        <f t="shared" si="10"/>
        <v>105.78358208955224</v>
      </c>
      <c r="V265" t="s">
        <v>640</v>
      </c>
      <c r="W265" s="32">
        <v>15</v>
      </c>
      <c r="X265" s="32" t="s">
        <v>80</v>
      </c>
      <c r="AD265" s="1">
        <v>195021761440</v>
      </c>
      <c r="AN265">
        <v>30</v>
      </c>
      <c r="AO265" t="s">
        <v>81</v>
      </c>
    </row>
    <row r="266" spans="1:41" ht="45" x14ac:dyDescent="0.25">
      <c r="A266" s="2">
        <v>195021762782</v>
      </c>
      <c r="B266" t="s">
        <v>71</v>
      </c>
      <c r="C266" t="s">
        <v>72</v>
      </c>
      <c r="D266" t="s">
        <v>841</v>
      </c>
      <c r="E266" t="s">
        <v>842</v>
      </c>
      <c r="F266">
        <v>316210</v>
      </c>
      <c r="G266" s="35" t="s">
        <v>824</v>
      </c>
      <c r="H266" s="31" t="s">
        <v>843</v>
      </c>
      <c r="J266" t="s">
        <v>77</v>
      </c>
      <c r="M266">
        <v>130</v>
      </c>
      <c r="P266" t="s">
        <v>78</v>
      </c>
      <c r="Q266" s="55">
        <v>127.27272727272727</v>
      </c>
      <c r="R266" s="32">
        <v>70</v>
      </c>
      <c r="S266" s="33">
        <v>0.33</v>
      </c>
      <c r="T266" s="34">
        <f t="shared" si="9"/>
        <v>104.47761194029852</v>
      </c>
      <c r="U266" s="34">
        <f t="shared" si="10"/>
        <v>105.78358208955224</v>
      </c>
      <c r="V266" t="s">
        <v>640</v>
      </c>
      <c r="W266" s="32">
        <v>15</v>
      </c>
      <c r="X266" s="32" t="s">
        <v>80</v>
      </c>
      <c r="AD266" s="1">
        <v>195021762782</v>
      </c>
      <c r="AN266">
        <v>30</v>
      </c>
      <c r="AO266" t="s">
        <v>81</v>
      </c>
    </row>
    <row r="267" spans="1:41" ht="45" x14ac:dyDescent="0.25">
      <c r="A267" s="2">
        <v>195021761457</v>
      </c>
      <c r="B267" t="s">
        <v>71</v>
      </c>
      <c r="C267" t="s">
        <v>72</v>
      </c>
      <c r="D267" t="s">
        <v>844</v>
      </c>
      <c r="E267" t="s">
        <v>845</v>
      </c>
      <c r="F267">
        <v>316210</v>
      </c>
      <c r="G267" s="35" t="s">
        <v>824</v>
      </c>
      <c r="H267" s="31" t="s">
        <v>846</v>
      </c>
      <c r="J267" t="s">
        <v>77</v>
      </c>
      <c r="M267">
        <v>130</v>
      </c>
      <c r="P267" t="s">
        <v>78</v>
      </c>
      <c r="Q267" s="55">
        <v>127.27272727272727</v>
      </c>
      <c r="R267" s="32">
        <v>70</v>
      </c>
      <c r="S267" s="33">
        <v>0.33</v>
      </c>
      <c r="T267" s="34">
        <f t="shared" si="9"/>
        <v>104.47761194029852</v>
      </c>
      <c r="U267" s="34">
        <f t="shared" si="10"/>
        <v>105.78358208955224</v>
      </c>
      <c r="V267" t="s">
        <v>640</v>
      </c>
      <c r="W267" s="32">
        <v>15</v>
      </c>
      <c r="X267" s="32" t="s">
        <v>80</v>
      </c>
      <c r="AD267" s="1">
        <v>195021761457</v>
      </c>
      <c r="AN267">
        <v>30</v>
      </c>
      <c r="AO267" t="s">
        <v>81</v>
      </c>
    </row>
    <row r="268" spans="1:41" ht="45" x14ac:dyDescent="0.25">
      <c r="A268" s="2">
        <v>195021762799</v>
      </c>
      <c r="B268" t="s">
        <v>71</v>
      </c>
      <c r="C268" t="s">
        <v>72</v>
      </c>
      <c r="D268" t="s">
        <v>847</v>
      </c>
      <c r="E268" t="s">
        <v>848</v>
      </c>
      <c r="F268">
        <v>316210</v>
      </c>
      <c r="G268" s="35" t="s">
        <v>824</v>
      </c>
      <c r="H268" s="31" t="s">
        <v>849</v>
      </c>
      <c r="J268" t="s">
        <v>77</v>
      </c>
      <c r="M268">
        <v>130</v>
      </c>
      <c r="P268" t="s">
        <v>78</v>
      </c>
      <c r="Q268" s="55">
        <v>127.27272727272727</v>
      </c>
      <c r="R268" s="32">
        <v>70</v>
      </c>
      <c r="S268" s="33">
        <v>0.33</v>
      </c>
      <c r="T268" s="34">
        <f t="shared" si="9"/>
        <v>104.47761194029852</v>
      </c>
      <c r="U268" s="34">
        <f t="shared" si="10"/>
        <v>105.78358208955224</v>
      </c>
      <c r="V268" t="s">
        <v>640</v>
      </c>
      <c r="W268" s="32">
        <v>15</v>
      </c>
      <c r="X268" s="32" t="s">
        <v>80</v>
      </c>
      <c r="AD268" s="1">
        <v>195021762799</v>
      </c>
      <c r="AN268">
        <v>30</v>
      </c>
      <c r="AO268" t="s">
        <v>81</v>
      </c>
    </row>
    <row r="269" spans="1:41" ht="45" x14ac:dyDescent="0.25">
      <c r="A269" s="2">
        <v>195021761464</v>
      </c>
      <c r="B269" t="s">
        <v>71</v>
      </c>
      <c r="C269" t="s">
        <v>72</v>
      </c>
      <c r="D269" t="s">
        <v>850</v>
      </c>
      <c r="E269" t="s">
        <v>851</v>
      </c>
      <c r="F269">
        <v>316210</v>
      </c>
      <c r="G269" s="35" t="s">
        <v>824</v>
      </c>
      <c r="H269" s="31" t="s">
        <v>852</v>
      </c>
      <c r="J269" t="s">
        <v>77</v>
      </c>
      <c r="M269">
        <v>130</v>
      </c>
      <c r="P269" t="s">
        <v>78</v>
      </c>
      <c r="Q269" s="55">
        <v>127.27272727272727</v>
      </c>
      <c r="R269" s="32">
        <v>70</v>
      </c>
      <c r="S269" s="33">
        <v>0.33</v>
      </c>
      <c r="T269" s="34">
        <f t="shared" si="9"/>
        <v>104.47761194029852</v>
      </c>
      <c r="U269" s="34">
        <f t="shared" si="10"/>
        <v>105.78358208955224</v>
      </c>
      <c r="V269" t="s">
        <v>640</v>
      </c>
      <c r="W269" s="32">
        <v>15</v>
      </c>
      <c r="X269" s="32" t="s">
        <v>80</v>
      </c>
      <c r="AD269" s="1">
        <v>195021761464</v>
      </c>
      <c r="AN269">
        <v>30</v>
      </c>
      <c r="AO269" t="s">
        <v>81</v>
      </c>
    </row>
    <row r="270" spans="1:41" ht="45" x14ac:dyDescent="0.25">
      <c r="A270" s="2">
        <v>195021762805</v>
      </c>
      <c r="B270" t="s">
        <v>71</v>
      </c>
      <c r="C270" t="s">
        <v>72</v>
      </c>
      <c r="D270" t="s">
        <v>853</v>
      </c>
      <c r="E270" t="s">
        <v>854</v>
      </c>
      <c r="F270">
        <v>316210</v>
      </c>
      <c r="G270" s="35" t="s">
        <v>824</v>
      </c>
      <c r="H270" s="31" t="s">
        <v>855</v>
      </c>
      <c r="J270" t="s">
        <v>77</v>
      </c>
      <c r="M270">
        <v>130</v>
      </c>
      <c r="P270" t="s">
        <v>78</v>
      </c>
      <c r="Q270" s="55">
        <v>127.27272727272727</v>
      </c>
      <c r="R270" s="32">
        <v>70</v>
      </c>
      <c r="S270" s="33">
        <v>0.33</v>
      </c>
      <c r="T270" s="34">
        <f t="shared" si="9"/>
        <v>104.47761194029852</v>
      </c>
      <c r="U270" s="34">
        <f t="shared" si="10"/>
        <v>105.78358208955224</v>
      </c>
      <c r="V270" t="s">
        <v>640</v>
      </c>
      <c r="W270" s="32">
        <v>15</v>
      </c>
      <c r="X270" s="32" t="s">
        <v>80</v>
      </c>
      <c r="AD270" s="1">
        <v>195021762805</v>
      </c>
      <c r="AN270">
        <v>30</v>
      </c>
      <c r="AO270" t="s">
        <v>81</v>
      </c>
    </row>
    <row r="271" spans="1:41" ht="45" x14ac:dyDescent="0.25">
      <c r="A271" s="2">
        <v>195021761471</v>
      </c>
      <c r="B271" t="s">
        <v>71</v>
      </c>
      <c r="C271" t="s">
        <v>72</v>
      </c>
      <c r="D271" t="s">
        <v>856</v>
      </c>
      <c r="E271" t="s">
        <v>857</v>
      </c>
      <c r="F271">
        <v>316210</v>
      </c>
      <c r="G271" s="35" t="s">
        <v>824</v>
      </c>
      <c r="H271" s="31" t="s">
        <v>858</v>
      </c>
      <c r="J271" t="s">
        <v>77</v>
      </c>
      <c r="M271">
        <v>130</v>
      </c>
      <c r="P271" t="s">
        <v>78</v>
      </c>
      <c r="Q271" s="55">
        <v>127.27272727272727</v>
      </c>
      <c r="R271" s="32">
        <v>70</v>
      </c>
      <c r="S271" s="33">
        <v>0.33</v>
      </c>
      <c r="T271" s="34">
        <f t="shared" si="9"/>
        <v>104.47761194029852</v>
      </c>
      <c r="U271" s="34">
        <f t="shared" si="10"/>
        <v>105.78358208955224</v>
      </c>
      <c r="V271" t="s">
        <v>640</v>
      </c>
      <c r="W271" s="32">
        <v>15</v>
      </c>
      <c r="X271" s="32" t="s">
        <v>80</v>
      </c>
      <c r="AD271" s="1">
        <v>195021761471</v>
      </c>
      <c r="AN271">
        <v>30</v>
      </c>
      <c r="AO271" t="s">
        <v>81</v>
      </c>
    </row>
    <row r="272" spans="1:41" ht="45" x14ac:dyDescent="0.25">
      <c r="A272" s="2">
        <v>195021762812</v>
      </c>
      <c r="B272" t="s">
        <v>71</v>
      </c>
      <c r="C272" t="s">
        <v>72</v>
      </c>
      <c r="D272" t="s">
        <v>859</v>
      </c>
      <c r="E272" t="s">
        <v>860</v>
      </c>
      <c r="F272">
        <v>316210</v>
      </c>
      <c r="G272" s="35" t="s">
        <v>824</v>
      </c>
      <c r="H272" s="31" t="s">
        <v>861</v>
      </c>
      <c r="J272" t="s">
        <v>77</v>
      </c>
      <c r="M272">
        <v>130</v>
      </c>
      <c r="P272" t="s">
        <v>78</v>
      </c>
      <c r="Q272" s="55">
        <v>127.27272727272727</v>
      </c>
      <c r="R272" s="32">
        <v>70</v>
      </c>
      <c r="S272" s="33">
        <v>0.33</v>
      </c>
      <c r="T272" s="34">
        <f t="shared" si="9"/>
        <v>104.47761194029852</v>
      </c>
      <c r="U272" s="34">
        <f t="shared" si="10"/>
        <v>105.78358208955224</v>
      </c>
      <c r="V272" t="s">
        <v>640</v>
      </c>
      <c r="W272" s="32">
        <v>15</v>
      </c>
      <c r="X272" s="32" t="s">
        <v>80</v>
      </c>
      <c r="AD272" s="1">
        <v>195021762812</v>
      </c>
      <c r="AN272">
        <v>30</v>
      </c>
      <c r="AO272" t="s">
        <v>81</v>
      </c>
    </row>
    <row r="273" spans="1:41" ht="45" x14ac:dyDescent="0.25">
      <c r="A273" s="2">
        <v>195021761488</v>
      </c>
      <c r="B273" t="s">
        <v>71</v>
      </c>
      <c r="C273" t="s">
        <v>72</v>
      </c>
      <c r="D273" t="s">
        <v>862</v>
      </c>
      <c r="E273" t="s">
        <v>863</v>
      </c>
      <c r="F273">
        <v>316210</v>
      </c>
      <c r="G273" s="35" t="s">
        <v>824</v>
      </c>
      <c r="H273" s="31" t="s">
        <v>864</v>
      </c>
      <c r="J273" t="s">
        <v>77</v>
      </c>
      <c r="M273">
        <v>130</v>
      </c>
      <c r="P273" t="s">
        <v>78</v>
      </c>
      <c r="Q273" s="55">
        <v>127.27272727272727</v>
      </c>
      <c r="R273" s="32">
        <v>70</v>
      </c>
      <c r="S273" s="33">
        <v>0.33</v>
      </c>
      <c r="T273" s="34">
        <f t="shared" si="9"/>
        <v>104.47761194029852</v>
      </c>
      <c r="U273" s="34">
        <f t="shared" si="10"/>
        <v>105.78358208955224</v>
      </c>
      <c r="V273" t="s">
        <v>640</v>
      </c>
      <c r="W273" s="32">
        <v>15</v>
      </c>
      <c r="X273" s="32" t="s">
        <v>80</v>
      </c>
      <c r="AD273" s="1">
        <v>195021761488</v>
      </c>
      <c r="AN273">
        <v>30</v>
      </c>
      <c r="AO273" t="s">
        <v>81</v>
      </c>
    </row>
    <row r="274" spans="1:41" ht="45" x14ac:dyDescent="0.25">
      <c r="A274" s="2">
        <v>195021762829</v>
      </c>
      <c r="B274" t="s">
        <v>71</v>
      </c>
      <c r="C274" t="s">
        <v>72</v>
      </c>
      <c r="D274" t="s">
        <v>865</v>
      </c>
      <c r="E274" t="s">
        <v>866</v>
      </c>
      <c r="F274">
        <v>316210</v>
      </c>
      <c r="G274" s="35" t="s">
        <v>824</v>
      </c>
      <c r="H274" s="31" t="s">
        <v>867</v>
      </c>
      <c r="J274" t="s">
        <v>77</v>
      </c>
      <c r="M274">
        <v>130</v>
      </c>
      <c r="P274" t="s">
        <v>78</v>
      </c>
      <c r="Q274" s="55">
        <v>127.27272727272727</v>
      </c>
      <c r="R274" s="32">
        <v>70</v>
      </c>
      <c r="S274" s="33">
        <v>0.33</v>
      </c>
      <c r="T274" s="34">
        <f t="shared" si="9"/>
        <v>104.47761194029852</v>
      </c>
      <c r="U274" s="34">
        <f t="shared" si="10"/>
        <v>105.78358208955224</v>
      </c>
      <c r="V274" t="s">
        <v>640</v>
      </c>
      <c r="W274" s="32">
        <v>15</v>
      </c>
      <c r="X274" s="32" t="s">
        <v>80</v>
      </c>
      <c r="AD274" s="1">
        <v>195021762829</v>
      </c>
      <c r="AN274">
        <v>30</v>
      </c>
      <c r="AO274" t="s">
        <v>81</v>
      </c>
    </row>
    <row r="275" spans="1:41" ht="45" x14ac:dyDescent="0.25">
      <c r="A275" s="2">
        <v>195021761495</v>
      </c>
      <c r="B275" t="s">
        <v>71</v>
      </c>
      <c r="C275" t="s">
        <v>72</v>
      </c>
      <c r="D275" t="s">
        <v>868</v>
      </c>
      <c r="E275" t="s">
        <v>869</v>
      </c>
      <c r="F275">
        <v>316210</v>
      </c>
      <c r="G275" s="35" t="s">
        <v>824</v>
      </c>
      <c r="H275" s="31" t="s">
        <v>870</v>
      </c>
      <c r="J275" t="s">
        <v>77</v>
      </c>
      <c r="M275">
        <v>130</v>
      </c>
      <c r="P275" t="s">
        <v>78</v>
      </c>
      <c r="Q275" s="55">
        <v>127.27272727272727</v>
      </c>
      <c r="R275" s="32">
        <v>70</v>
      </c>
      <c r="S275" s="33">
        <v>0.33</v>
      </c>
      <c r="T275" s="34">
        <f t="shared" si="9"/>
        <v>104.47761194029852</v>
      </c>
      <c r="U275" s="34">
        <f t="shared" si="10"/>
        <v>105.78358208955224</v>
      </c>
      <c r="V275" t="s">
        <v>640</v>
      </c>
      <c r="W275" s="32">
        <v>15</v>
      </c>
      <c r="X275" s="32" t="s">
        <v>80</v>
      </c>
      <c r="AD275" s="1">
        <v>195021761495</v>
      </c>
      <c r="AN275">
        <v>30</v>
      </c>
      <c r="AO275" t="s">
        <v>81</v>
      </c>
    </row>
    <row r="276" spans="1:41" ht="45" x14ac:dyDescent="0.25">
      <c r="A276" s="2">
        <v>195021762836</v>
      </c>
      <c r="B276" t="s">
        <v>71</v>
      </c>
      <c r="C276" t="s">
        <v>72</v>
      </c>
      <c r="D276" t="s">
        <v>871</v>
      </c>
      <c r="E276" t="s">
        <v>872</v>
      </c>
      <c r="F276">
        <v>316210</v>
      </c>
      <c r="G276" s="35" t="s">
        <v>824</v>
      </c>
      <c r="H276" s="31" t="s">
        <v>873</v>
      </c>
      <c r="J276" t="s">
        <v>77</v>
      </c>
      <c r="M276">
        <v>130</v>
      </c>
      <c r="P276" t="s">
        <v>78</v>
      </c>
      <c r="Q276" s="55">
        <v>127.27272727272727</v>
      </c>
      <c r="R276" s="32">
        <v>70</v>
      </c>
      <c r="S276" s="33">
        <v>0.33</v>
      </c>
      <c r="T276" s="34">
        <f t="shared" si="9"/>
        <v>104.47761194029852</v>
      </c>
      <c r="U276" s="34">
        <f t="shared" si="10"/>
        <v>105.78358208955224</v>
      </c>
      <c r="V276" t="s">
        <v>640</v>
      </c>
      <c r="W276" s="32">
        <v>15</v>
      </c>
      <c r="X276" s="32" t="s">
        <v>80</v>
      </c>
      <c r="AD276" s="1">
        <v>195021762836</v>
      </c>
      <c r="AN276">
        <v>30</v>
      </c>
      <c r="AO276" t="s">
        <v>81</v>
      </c>
    </row>
    <row r="277" spans="1:41" ht="45" x14ac:dyDescent="0.25">
      <c r="A277" s="2">
        <v>195021762706</v>
      </c>
      <c r="B277" t="s">
        <v>71</v>
      </c>
      <c r="C277" t="s">
        <v>72</v>
      </c>
      <c r="D277" t="s">
        <v>874</v>
      </c>
      <c r="E277" t="s">
        <v>875</v>
      </c>
      <c r="F277">
        <v>316210</v>
      </c>
      <c r="G277" s="35" t="s">
        <v>824</v>
      </c>
      <c r="H277" s="31" t="s">
        <v>876</v>
      </c>
      <c r="J277" t="s">
        <v>77</v>
      </c>
      <c r="M277">
        <v>130</v>
      </c>
      <c r="P277" t="s">
        <v>78</v>
      </c>
      <c r="Q277" s="55">
        <v>127.27272727272727</v>
      </c>
      <c r="R277" s="32">
        <v>70</v>
      </c>
      <c r="S277" s="33">
        <v>0.33</v>
      </c>
      <c r="T277" s="34">
        <f t="shared" si="9"/>
        <v>104.47761194029852</v>
      </c>
      <c r="U277" s="34">
        <f t="shared" si="10"/>
        <v>105.78358208955224</v>
      </c>
      <c r="V277" t="s">
        <v>640</v>
      </c>
      <c r="W277" s="32">
        <v>15</v>
      </c>
      <c r="X277" s="32" t="s">
        <v>80</v>
      </c>
      <c r="AD277" s="1">
        <v>195021762706</v>
      </c>
      <c r="AN277">
        <v>30</v>
      </c>
      <c r="AO277" t="s">
        <v>81</v>
      </c>
    </row>
    <row r="278" spans="1:41" ht="45" x14ac:dyDescent="0.25">
      <c r="A278" s="2">
        <v>195021762843</v>
      </c>
      <c r="B278" t="s">
        <v>71</v>
      </c>
      <c r="C278" t="s">
        <v>72</v>
      </c>
      <c r="D278" t="s">
        <v>877</v>
      </c>
      <c r="E278" t="s">
        <v>878</v>
      </c>
      <c r="F278">
        <v>316210</v>
      </c>
      <c r="G278" s="35" t="s">
        <v>824</v>
      </c>
      <c r="H278" s="31" t="s">
        <v>879</v>
      </c>
      <c r="J278" t="s">
        <v>77</v>
      </c>
      <c r="M278">
        <v>130</v>
      </c>
      <c r="P278" t="s">
        <v>78</v>
      </c>
      <c r="Q278" s="55">
        <v>127.27272727272727</v>
      </c>
      <c r="R278" s="32">
        <v>70</v>
      </c>
      <c r="S278" s="33">
        <v>0.33</v>
      </c>
      <c r="T278" s="34">
        <f t="shared" si="9"/>
        <v>104.47761194029852</v>
      </c>
      <c r="U278" s="34">
        <f t="shared" si="10"/>
        <v>105.78358208955224</v>
      </c>
      <c r="V278" t="s">
        <v>640</v>
      </c>
      <c r="W278" s="32">
        <v>15</v>
      </c>
      <c r="X278" s="32" t="s">
        <v>80</v>
      </c>
      <c r="AD278" s="1">
        <v>195021762843</v>
      </c>
      <c r="AN278">
        <v>30</v>
      </c>
      <c r="AO278" t="s">
        <v>81</v>
      </c>
    </row>
    <row r="279" spans="1:41" ht="45" x14ac:dyDescent="0.25">
      <c r="A279" s="2">
        <v>195021762713</v>
      </c>
      <c r="B279" t="s">
        <v>71</v>
      </c>
      <c r="C279" t="s">
        <v>72</v>
      </c>
      <c r="D279" t="s">
        <v>880</v>
      </c>
      <c r="E279" t="s">
        <v>881</v>
      </c>
      <c r="F279">
        <v>316210</v>
      </c>
      <c r="G279" s="35" t="s">
        <v>824</v>
      </c>
      <c r="H279" s="31" t="s">
        <v>882</v>
      </c>
      <c r="J279" t="s">
        <v>77</v>
      </c>
      <c r="M279">
        <v>130</v>
      </c>
      <c r="P279" t="s">
        <v>78</v>
      </c>
      <c r="Q279" s="55">
        <v>127.27272727272727</v>
      </c>
      <c r="R279" s="32">
        <v>70</v>
      </c>
      <c r="S279" s="33">
        <v>0.33</v>
      </c>
      <c r="T279" s="34">
        <f t="shared" si="9"/>
        <v>104.47761194029852</v>
      </c>
      <c r="U279" s="34">
        <f t="shared" si="10"/>
        <v>105.78358208955224</v>
      </c>
      <c r="V279" t="s">
        <v>640</v>
      </c>
      <c r="W279" s="32">
        <v>15</v>
      </c>
      <c r="X279" s="32" t="s">
        <v>80</v>
      </c>
      <c r="AD279" s="1">
        <v>195021762713</v>
      </c>
      <c r="AN279">
        <v>30</v>
      </c>
      <c r="AO279" t="s">
        <v>81</v>
      </c>
    </row>
    <row r="280" spans="1:41" ht="45" x14ac:dyDescent="0.25">
      <c r="A280" s="2">
        <v>195021762850</v>
      </c>
      <c r="B280" t="s">
        <v>71</v>
      </c>
      <c r="C280" t="s">
        <v>72</v>
      </c>
      <c r="D280" t="s">
        <v>883</v>
      </c>
      <c r="E280" t="s">
        <v>884</v>
      </c>
      <c r="F280">
        <v>316210</v>
      </c>
      <c r="G280" s="35" t="s">
        <v>824</v>
      </c>
      <c r="H280" s="31" t="s">
        <v>885</v>
      </c>
      <c r="J280" t="s">
        <v>77</v>
      </c>
      <c r="M280">
        <v>130</v>
      </c>
      <c r="P280" t="s">
        <v>78</v>
      </c>
      <c r="Q280" s="55">
        <v>127.27272727272727</v>
      </c>
      <c r="R280" s="32">
        <v>70</v>
      </c>
      <c r="S280" s="33">
        <v>0.33</v>
      </c>
      <c r="T280" s="34">
        <f t="shared" si="9"/>
        <v>104.47761194029852</v>
      </c>
      <c r="U280" s="34">
        <f t="shared" si="10"/>
        <v>105.78358208955224</v>
      </c>
      <c r="V280" t="s">
        <v>640</v>
      </c>
      <c r="W280" s="32">
        <v>15</v>
      </c>
      <c r="X280" s="32" t="s">
        <v>80</v>
      </c>
      <c r="AD280" s="1">
        <v>195021762850</v>
      </c>
      <c r="AN280">
        <v>30</v>
      </c>
      <c r="AO280" t="s">
        <v>81</v>
      </c>
    </row>
    <row r="281" spans="1:41" ht="45" x14ac:dyDescent="0.25">
      <c r="A281" s="2">
        <v>195021762720</v>
      </c>
      <c r="B281" t="s">
        <v>71</v>
      </c>
      <c r="C281" t="s">
        <v>72</v>
      </c>
      <c r="D281" t="s">
        <v>886</v>
      </c>
      <c r="E281" t="s">
        <v>887</v>
      </c>
      <c r="F281">
        <v>316210</v>
      </c>
      <c r="G281" s="35" t="s">
        <v>824</v>
      </c>
      <c r="H281" s="31" t="s">
        <v>888</v>
      </c>
      <c r="J281" t="s">
        <v>77</v>
      </c>
      <c r="M281">
        <v>130</v>
      </c>
      <c r="P281" t="s">
        <v>78</v>
      </c>
      <c r="Q281" s="55">
        <v>127.27272727272727</v>
      </c>
      <c r="R281" s="32">
        <v>70</v>
      </c>
      <c r="S281" s="33">
        <v>0.33</v>
      </c>
      <c r="T281" s="34">
        <f t="shared" si="9"/>
        <v>104.47761194029852</v>
      </c>
      <c r="U281" s="34">
        <f t="shared" si="10"/>
        <v>105.78358208955224</v>
      </c>
      <c r="V281" t="s">
        <v>640</v>
      </c>
      <c r="W281" s="32">
        <v>15</v>
      </c>
      <c r="X281" s="32" t="s">
        <v>80</v>
      </c>
      <c r="AD281" s="1">
        <v>195021762720</v>
      </c>
      <c r="AN281">
        <v>30</v>
      </c>
      <c r="AO281" t="s">
        <v>81</v>
      </c>
    </row>
    <row r="282" spans="1:41" ht="45" x14ac:dyDescent="0.25">
      <c r="A282" s="2">
        <v>195021762867</v>
      </c>
      <c r="B282" t="s">
        <v>71</v>
      </c>
      <c r="C282" t="s">
        <v>72</v>
      </c>
      <c r="D282" t="s">
        <v>889</v>
      </c>
      <c r="E282" t="s">
        <v>890</v>
      </c>
      <c r="F282">
        <v>316210</v>
      </c>
      <c r="G282" s="35" t="s">
        <v>824</v>
      </c>
      <c r="H282" s="31" t="s">
        <v>891</v>
      </c>
      <c r="J282" t="s">
        <v>77</v>
      </c>
      <c r="M282">
        <v>130</v>
      </c>
      <c r="P282" t="s">
        <v>78</v>
      </c>
      <c r="Q282" s="55">
        <v>127.27272727272727</v>
      </c>
      <c r="R282" s="32">
        <v>70</v>
      </c>
      <c r="S282" s="33">
        <v>0.33</v>
      </c>
      <c r="T282" s="34">
        <f t="shared" si="9"/>
        <v>104.47761194029852</v>
      </c>
      <c r="U282" s="34">
        <f t="shared" si="10"/>
        <v>105.78358208955224</v>
      </c>
      <c r="V282" t="s">
        <v>640</v>
      </c>
      <c r="W282" s="32">
        <v>15</v>
      </c>
      <c r="X282" s="32" t="s">
        <v>80</v>
      </c>
      <c r="AD282" s="1">
        <v>195021762867</v>
      </c>
      <c r="AN282">
        <v>30</v>
      </c>
      <c r="AO282" t="s">
        <v>81</v>
      </c>
    </row>
    <row r="283" spans="1:41" ht="45" x14ac:dyDescent="0.25">
      <c r="A283" s="2">
        <v>195021762737</v>
      </c>
      <c r="B283" t="s">
        <v>71</v>
      </c>
      <c r="C283" t="s">
        <v>72</v>
      </c>
      <c r="D283" t="s">
        <v>892</v>
      </c>
      <c r="E283" t="s">
        <v>893</v>
      </c>
      <c r="F283">
        <v>316210</v>
      </c>
      <c r="G283" s="35" t="s">
        <v>824</v>
      </c>
      <c r="H283" s="31" t="s">
        <v>894</v>
      </c>
      <c r="J283" t="s">
        <v>77</v>
      </c>
      <c r="M283">
        <v>130</v>
      </c>
      <c r="P283" t="s">
        <v>78</v>
      </c>
      <c r="Q283" s="55">
        <v>127.27272727272727</v>
      </c>
      <c r="R283" s="32">
        <v>70</v>
      </c>
      <c r="S283" s="33">
        <v>0.33</v>
      </c>
      <c r="T283" s="34">
        <f t="shared" si="9"/>
        <v>104.47761194029852</v>
      </c>
      <c r="U283" s="34">
        <f t="shared" si="10"/>
        <v>105.78358208955224</v>
      </c>
      <c r="V283" t="s">
        <v>640</v>
      </c>
      <c r="W283" s="32">
        <v>15</v>
      </c>
      <c r="X283" s="32" t="s">
        <v>80</v>
      </c>
      <c r="AD283" s="1">
        <v>195021762737</v>
      </c>
      <c r="AN283">
        <v>30</v>
      </c>
      <c r="AO283" t="s">
        <v>81</v>
      </c>
    </row>
    <row r="284" spans="1:41" ht="45" x14ac:dyDescent="0.25">
      <c r="A284" s="2">
        <v>195021762874</v>
      </c>
      <c r="B284" t="s">
        <v>71</v>
      </c>
      <c r="C284" t="s">
        <v>72</v>
      </c>
      <c r="D284" t="s">
        <v>895</v>
      </c>
      <c r="E284" t="s">
        <v>896</v>
      </c>
      <c r="F284">
        <v>316210</v>
      </c>
      <c r="G284" s="35" t="s">
        <v>824</v>
      </c>
      <c r="H284" s="31" t="s">
        <v>897</v>
      </c>
      <c r="J284" t="s">
        <v>77</v>
      </c>
      <c r="M284">
        <v>130</v>
      </c>
      <c r="P284" t="s">
        <v>78</v>
      </c>
      <c r="Q284" s="55">
        <v>127.27272727272727</v>
      </c>
      <c r="R284" s="32">
        <v>70</v>
      </c>
      <c r="S284" s="33">
        <v>0.33</v>
      </c>
      <c r="T284" s="34">
        <f t="shared" si="9"/>
        <v>104.47761194029852</v>
      </c>
      <c r="U284" s="34">
        <f t="shared" si="10"/>
        <v>105.78358208955224</v>
      </c>
      <c r="V284" t="s">
        <v>640</v>
      </c>
      <c r="W284" s="32">
        <v>15</v>
      </c>
      <c r="X284" s="32" t="s">
        <v>80</v>
      </c>
      <c r="AD284" s="1">
        <v>195021762874</v>
      </c>
      <c r="AN284">
        <v>30</v>
      </c>
      <c r="AO284" t="s">
        <v>81</v>
      </c>
    </row>
    <row r="285" spans="1:41" ht="45" x14ac:dyDescent="0.25">
      <c r="A285" s="2">
        <v>195021762744</v>
      </c>
      <c r="B285" t="s">
        <v>71</v>
      </c>
      <c r="C285" t="s">
        <v>72</v>
      </c>
      <c r="D285" t="s">
        <v>898</v>
      </c>
      <c r="E285" t="s">
        <v>899</v>
      </c>
      <c r="F285">
        <v>316210</v>
      </c>
      <c r="G285" s="35" t="s">
        <v>824</v>
      </c>
      <c r="H285" s="31" t="s">
        <v>900</v>
      </c>
      <c r="J285" t="s">
        <v>77</v>
      </c>
      <c r="M285">
        <v>130</v>
      </c>
      <c r="P285" t="s">
        <v>78</v>
      </c>
      <c r="Q285" s="55">
        <v>127.27272727272727</v>
      </c>
      <c r="R285" s="32">
        <v>70</v>
      </c>
      <c r="S285" s="33">
        <v>0.33</v>
      </c>
      <c r="T285" s="34">
        <f t="shared" si="9"/>
        <v>104.47761194029852</v>
      </c>
      <c r="U285" s="34">
        <f t="shared" si="10"/>
        <v>105.78358208955224</v>
      </c>
      <c r="V285" t="s">
        <v>640</v>
      </c>
      <c r="W285" s="32">
        <v>15</v>
      </c>
      <c r="X285" s="32" t="s">
        <v>80</v>
      </c>
      <c r="AD285" s="1">
        <v>195021762744</v>
      </c>
      <c r="AN285">
        <v>30</v>
      </c>
      <c r="AO285" t="s">
        <v>81</v>
      </c>
    </row>
    <row r="286" spans="1:41" ht="45" x14ac:dyDescent="0.25">
      <c r="A286" s="2">
        <v>195021762881</v>
      </c>
      <c r="B286" t="s">
        <v>71</v>
      </c>
      <c r="C286" t="s">
        <v>72</v>
      </c>
      <c r="D286" t="s">
        <v>901</v>
      </c>
      <c r="E286" t="s">
        <v>902</v>
      </c>
      <c r="F286">
        <v>316210</v>
      </c>
      <c r="G286" s="35" t="s">
        <v>824</v>
      </c>
      <c r="H286" s="31" t="s">
        <v>903</v>
      </c>
      <c r="J286" t="s">
        <v>77</v>
      </c>
      <c r="M286">
        <v>130</v>
      </c>
      <c r="P286" t="s">
        <v>78</v>
      </c>
      <c r="Q286" s="55">
        <v>127.27272727272727</v>
      </c>
      <c r="R286" s="32">
        <v>70</v>
      </c>
      <c r="S286" s="33">
        <v>0.33</v>
      </c>
      <c r="T286" s="34">
        <f t="shared" si="9"/>
        <v>104.47761194029852</v>
      </c>
      <c r="U286" s="34">
        <f t="shared" si="10"/>
        <v>105.78358208955224</v>
      </c>
      <c r="V286" t="s">
        <v>640</v>
      </c>
      <c r="W286" s="32">
        <v>15</v>
      </c>
      <c r="X286" s="32" t="s">
        <v>80</v>
      </c>
      <c r="AD286" s="1">
        <v>195021762881</v>
      </c>
      <c r="AN286">
        <v>30</v>
      </c>
      <c r="AO286" t="s">
        <v>81</v>
      </c>
    </row>
    <row r="287" spans="1:41" ht="90" x14ac:dyDescent="0.25">
      <c r="A287" s="2">
        <v>195021763024</v>
      </c>
      <c r="B287" t="s">
        <v>71</v>
      </c>
      <c r="C287" t="s">
        <v>72</v>
      </c>
      <c r="D287" t="s">
        <v>904</v>
      </c>
      <c r="E287" t="s">
        <v>905</v>
      </c>
      <c r="F287">
        <v>316210</v>
      </c>
      <c r="G287" s="35" t="s">
        <v>906</v>
      </c>
      <c r="H287" s="31" t="s">
        <v>907</v>
      </c>
      <c r="J287" t="s">
        <v>77</v>
      </c>
      <c r="M287">
        <v>145</v>
      </c>
      <c r="P287" t="s">
        <v>78</v>
      </c>
      <c r="Q287" s="55">
        <v>140.90909090909091</v>
      </c>
      <c r="R287" s="32">
        <v>77.5</v>
      </c>
      <c r="S287" s="33">
        <v>0.33</v>
      </c>
      <c r="T287" s="34">
        <f t="shared" si="9"/>
        <v>115.67164179104479</v>
      </c>
      <c r="U287" s="34">
        <f t="shared" si="10"/>
        <v>117.11753731343285</v>
      </c>
      <c r="V287" t="s">
        <v>640</v>
      </c>
      <c r="W287" s="32">
        <v>15</v>
      </c>
      <c r="X287" s="32" t="s">
        <v>80</v>
      </c>
      <c r="AD287" s="1">
        <v>195021763024</v>
      </c>
      <c r="AN287">
        <v>30</v>
      </c>
      <c r="AO287" t="s">
        <v>81</v>
      </c>
    </row>
    <row r="288" spans="1:41" ht="90" x14ac:dyDescent="0.25">
      <c r="A288" s="2">
        <v>195021762898</v>
      </c>
      <c r="B288" t="s">
        <v>71</v>
      </c>
      <c r="C288" t="s">
        <v>72</v>
      </c>
      <c r="D288" t="s">
        <v>908</v>
      </c>
      <c r="E288" t="s">
        <v>909</v>
      </c>
      <c r="F288">
        <v>316210</v>
      </c>
      <c r="G288" s="35" t="s">
        <v>906</v>
      </c>
      <c r="H288" s="31" t="s">
        <v>910</v>
      </c>
      <c r="J288" t="s">
        <v>77</v>
      </c>
      <c r="M288">
        <v>145</v>
      </c>
      <c r="P288" t="s">
        <v>78</v>
      </c>
      <c r="Q288" s="55">
        <v>140.90909090909091</v>
      </c>
      <c r="R288" s="32">
        <v>77.5</v>
      </c>
      <c r="S288" s="33">
        <v>0.33</v>
      </c>
      <c r="T288" s="34">
        <f t="shared" si="9"/>
        <v>115.67164179104479</v>
      </c>
      <c r="U288" s="34">
        <f t="shared" si="10"/>
        <v>117.11753731343285</v>
      </c>
      <c r="V288" t="s">
        <v>640</v>
      </c>
      <c r="W288" s="32">
        <v>15</v>
      </c>
      <c r="X288" s="32" t="s">
        <v>80</v>
      </c>
      <c r="AD288" s="1">
        <v>195021762898</v>
      </c>
      <c r="AN288">
        <v>30</v>
      </c>
      <c r="AO288" t="s">
        <v>81</v>
      </c>
    </row>
    <row r="289" spans="1:41" ht="90" x14ac:dyDescent="0.25">
      <c r="A289" s="2">
        <v>195021763031</v>
      </c>
      <c r="B289" t="s">
        <v>71</v>
      </c>
      <c r="C289" t="s">
        <v>72</v>
      </c>
      <c r="D289" t="s">
        <v>911</v>
      </c>
      <c r="E289" t="s">
        <v>912</v>
      </c>
      <c r="F289">
        <v>316210</v>
      </c>
      <c r="G289" s="35" t="s">
        <v>906</v>
      </c>
      <c r="H289" s="31" t="s">
        <v>913</v>
      </c>
      <c r="J289" t="s">
        <v>77</v>
      </c>
      <c r="M289">
        <v>145</v>
      </c>
      <c r="P289" t="s">
        <v>78</v>
      </c>
      <c r="Q289" s="55">
        <v>140.90909090909091</v>
      </c>
      <c r="R289" s="32">
        <v>77.5</v>
      </c>
      <c r="S289" s="33">
        <v>0.33</v>
      </c>
      <c r="T289" s="34">
        <f t="shared" si="9"/>
        <v>115.67164179104479</v>
      </c>
      <c r="U289" s="34">
        <f t="shared" si="10"/>
        <v>117.11753731343285</v>
      </c>
      <c r="V289" t="s">
        <v>640</v>
      </c>
      <c r="W289" s="32">
        <v>15</v>
      </c>
      <c r="X289" s="32" t="s">
        <v>80</v>
      </c>
      <c r="AD289" s="1">
        <v>195021763031</v>
      </c>
      <c r="AN289">
        <v>30</v>
      </c>
      <c r="AO289" t="s">
        <v>81</v>
      </c>
    </row>
    <row r="290" spans="1:41" ht="90" x14ac:dyDescent="0.25">
      <c r="A290" s="2">
        <v>195021762904</v>
      </c>
      <c r="B290" t="s">
        <v>71</v>
      </c>
      <c r="C290" t="s">
        <v>72</v>
      </c>
      <c r="D290" t="s">
        <v>914</v>
      </c>
      <c r="E290" t="s">
        <v>915</v>
      </c>
      <c r="F290">
        <v>316210</v>
      </c>
      <c r="G290" s="35" t="s">
        <v>906</v>
      </c>
      <c r="H290" s="31" t="s">
        <v>916</v>
      </c>
      <c r="J290" t="s">
        <v>77</v>
      </c>
      <c r="M290">
        <v>145</v>
      </c>
      <c r="P290" t="s">
        <v>78</v>
      </c>
      <c r="Q290" s="55">
        <v>140.90909090909091</v>
      </c>
      <c r="R290" s="32">
        <v>77.5</v>
      </c>
      <c r="S290" s="33">
        <v>0.33</v>
      </c>
      <c r="T290" s="34">
        <f t="shared" si="9"/>
        <v>115.67164179104479</v>
      </c>
      <c r="U290" s="34">
        <f t="shared" si="10"/>
        <v>117.11753731343285</v>
      </c>
      <c r="V290" t="s">
        <v>640</v>
      </c>
      <c r="W290" s="32">
        <v>15</v>
      </c>
      <c r="X290" s="32" t="s">
        <v>80</v>
      </c>
      <c r="AD290" s="1">
        <v>195021762904</v>
      </c>
      <c r="AN290">
        <v>30</v>
      </c>
      <c r="AO290" t="s">
        <v>81</v>
      </c>
    </row>
    <row r="291" spans="1:41" ht="90" x14ac:dyDescent="0.25">
      <c r="A291" s="2">
        <v>195021763048</v>
      </c>
      <c r="B291" t="s">
        <v>71</v>
      </c>
      <c r="C291" t="s">
        <v>72</v>
      </c>
      <c r="D291" t="s">
        <v>917</v>
      </c>
      <c r="E291" t="s">
        <v>918</v>
      </c>
      <c r="F291">
        <v>316210</v>
      </c>
      <c r="G291" s="35" t="s">
        <v>906</v>
      </c>
      <c r="H291" s="31" t="s">
        <v>919</v>
      </c>
      <c r="J291" t="s">
        <v>77</v>
      </c>
      <c r="M291">
        <v>145</v>
      </c>
      <c r="P291" t="s">
        <v>78</v>
      </c>
      <c r="Q291" s="55">
        <v>140.90909090909091</v>
      </c>
      <c r="R291" s="32">
        <v>77.5</v>
      </c>
      <c r="S291" s="33">
        <v>0.33</v>
      </c>
      <c r="T291" s="34">
        <f t="shared" si="9"/>
        <v>115.67164179104479</v>
      </c>
      <c r="U291" s="34">
        <f t="shared" si="10"/>
        <v>117.11753731343285</v>
      </c>
      <c r="V291" t="s">
        <v>640</v>
      </c>
      <c r="W291" s="32">
        <v>15</v>
      </c>
      <c r="X291" s="32" t="s">
        <v>80</v>
      </c>
      <c r="AD291" s="1">
        <v>195021763048</v>
      </c>
      <c r="AN291">
        <v>30</v>
      </c>
      <c r="AO291" t="s">
        <v>81</v>
      </c>
    </row>
    <row r="292" spans="1:41" ht="90" x14ac:dyDescent="0.25">
      <c r="A292" s="2">
        <v>195021762911</v>
      </c>
      <c r="B292" t="s">
        <v>71</v>
      </c>
      <c r="C292" t="s">
        <v>72</v>
      </c>
      <c r="D292" t="s">
        <v>920</v>
      </c>
      <c r="E292" t="s">
        <v>921</v>
      </c>
      <c r="F292">
        <v>316210</v>
      </c>
      <c r="G292" s="35" t="s">
        <v>906</v>
      </c>
      <c r="H292" s="31" t="s">
        <v>922</v>
      </c>
      <c r="J292" t="s">
        <v>77</v>
      </c>
      <c r="M292">
        <v>145</v>
      </c>
      <c r="P292" t="s">
        <v>78</v>
      </c>
      <c r="Q292" s="55">
        <v>140.90909090909091</v>
      </c>
      <c r="R292" s="32">
        <v>77.5</v>
      </c>
      <c r="S292" s="33">
        <v>0.33</v>
      </c>
      <c r="T292" s="34">
        <f t="shared" si="9"/>
        <v>115.67164179104479</v>
      </c>
      <c r="U292" s="34">
        <f t="shared" si="10"/>
        <v>117.11753731343285</v>
      </c>
      <c r="V292" t="s">
        <v>640</v>
      </c>
      <c r="W292" s="32">
        <v>15</v>
      </c>
      <c r="X292" s="32" t="s">
        <v>80</v>
      </c>
      <c r="AD292" s="1">
        <v>195021762911</v>
      </c>
      <c r="AN292">
        <v>30</v>
      </c>
      <c r="AO292" t="s">
        <v>81</v>
      </c>
    </row>
    <row r="293" spans="1:41" ht="90" x14ac:dyDescent="0.25">
      <c r="A293" s="2">
        <v>195021763055</v>
      </c>
      <c r="B293" t="s">
        <v>71</v>
      </c>
      <c r="C293" t="s">
        <v>72</v>
      </c>
      <c r="D293" t="s">
        <v>923</v>
      </c>
      <c r="E293" t="s">
        <v>924</v>
      </c>
      <c r="F293">
        <v>316210</v>
      </c>
      <c r="G293" s="35" t="s">
        <v>906</v>
      </c>
      <c r="H293" s="31" t="s">
        <v>925</v>
      </c>
      <c r="J293" t="s">
        <v>77</v>
      </c>
      <c r="M293">
        <v>145</v>
      </c>
      <c r="P293" t="s">
        <v>78</v>
      </c>
      <c r="Q293" s="55">
        <v>140.90909090909091</v>
      </c>
      <c r="R293" s="32">
        <v>77.5</v>
      </c>
      <c r="S293" s="33">
        <v>0.33</v>
      </c>
      <c r="T293" s="34">
        <f t="shared" si="9"/>
        <v>115.67164179104479</v>
      </c>
      <c r="U293" s="34">
        <f t="shared" si="10"/>
        <v>117.11753731343285</v>
      </c>
      <c r="V293" t="s">
        <v>640</v>
      </c>
      <c r="W293" s="32">
        <v>15</v>
      </c>
      <c r="X293" s="32" t="s">
        <v>80</v>
      </c>
      <c r="AD293" s="1">
        <v>195021763055</v>
      </c>
      <c r="AN293">
        <v>30</v>
      </c>
      <c r="AO293" t="s">
        <v>81</v>
      </c>
    </row>
    <row r="294" spans="1:41" ht="90" x14ac:dyDescent="0.25">
      <c r="A294" s="2">
        <v>195021762928</v>
      </c>
      <c r="B294" t="s">
        <v>71</v>
      </c>
      <c r="C294" t="s">
        <v>72</v>
      </c>
      <c r="D294" t="s">
        <v>926</v>
      </c>
      <c r="E294" t="s">
        <v>927</v>
      </c>
      <c r="F294">
        <v>316210</v>
      </c>
      <c r="G294" s="35" t="s">
        <v>906</v>
      </c>
      <c r="H294" s="31" t="s">
        <v>928</v>
      </c>
      <c r="J294" t="s">
        <v>77</v>
      </c>
      <c r="M294">
        <v>145</v>
      </c>
      <c r="P294" t="s">
        <v>78</v>
      </c>
      <c r="Q294" s="55">
        <v>140.90909090909091</v>
      </c>
      <c r="R294" s="32">
        <v>77.5</v>
      </c>
      <c r="S294" s="33">
        <v>0.33</v>
      </c>
      <c r="T294" s="34">
        <f t="shared" si="9"/>
        <v>115.67164179104479</v>
      </c>
      <c r="U294" s="34">
        <f t="shared" si="10"/>
        <v>117.11753731343285</v>
      </c>
      <c r="V294" t="s">
        <v>640</v>
      </c>
      <c r="W294" s="32">
        <v>15</v>
      </c>
      <c r="X294" s="32" t="s">
        <v>80</v>
      </c>
      <c r="AD294" s="1">
        <v>195021762928</v>
      </c>
      <c r="AN294">
        <v>30</v>
      </c>
      <c r="AO294" t="s">
        <v>81</v>
      </c>
    </row>
    <row r="295" spans="1:41" ht="90" x14ac:dyDescent="0.25">
      <c r="A295" s="2">
        <v>195021763062</v>
      </c>
      <c r="B295" t="s">
        <v>71</v>
      </c>
      <c r="C295" t="s">
        <v>72</v>
      </c>
      <c r="D295" t="s">
        <v>929</v>
      </c>
      <c r="E295" t="s">
        <v>930</v>
      </c>
      <c r="F295">
        <v>316210</v>
      </c>
      <c r="G295" s="35" t="s">
        <v>906</v>
      </c>
      <c r="H295" s="31" t="s">
        <v>931</v>
      </c>
      <c r="J295" t="s">
        <v>77</v>
      </c>
      <c r="M295">
        <v>145</v>
      </c>
      <c r="P295" t="s">
        <v>78</v>
      </c>
      <c r="Q295" s="55">
        <v>140.90909090909091</v>
      </c>
      <c r="R295" s="32">
        <v>77.5</v>
      </c>
      <c r="S295" s="33">
        <v>0.33</v>
      </c>
      <c r="T295" s="34">
        <f t="shared" si="9"/>
        <v>115.67164179104479</v>
      </c>
      <c r="U295" s="34">
        <f t="shared" si="10"/>
        <v>117.11753731343285</v>
      </c>
      <c r="V295" t="s">
        <v>640</v>
      </c>
      <c r="W295" s="32">
        <v>15</v>
      </c>
      <c r="X295" s="32" t="s">
        <v>80</v>
      </c>
      <c r="AD295" s="1">
        <v>195021763062</v>
      </c>
      <c r="AN295">
        <v>30</v>
      </c>
      <c r="AO295" t="s">
        <v>81</v>
      </c>
    </row>
    <row r="296" spans="1:41" ht="90" x14ac:dyDescent="0.25">
      <c r="A296" s="2">
        <v>195021762935</v>
      </c>
      <c r="B296" t="s">
        <v>71</v>
      </c>
      <c r="C296" t="s">
        <v>72</v>
      </c>
      <c r="D296" t="s">
        <v>932</v>
      </c>
      <c r="E296" t="s">
        <v>933</v>
      </c>
      <c r="F296">
        <v>316210</v>
      </c>
      <c r="G296" s="35" t="s">
        <v>906</v>
      </c>
      <c r="H296" s="31" t="s">
        <v>934</v>
      </c>
      <c r="J296" t="s">
        <v>77</v>
      </c>
      <c r="M296">
        <v>145</v>
      </c>
      <c r="P296" t="s">
        <v>78</v>
      </c>
      <c r="Q296" s="55">
        <v>140.90909090909091</v>
      </c>
      <c r="R296" s="32">
        <v>77.5</v>
      </c>
      <c r="S296" s="33">
        <v>0.33</v>
      </c>
      <c r="T296" s="34">
        <f t="shared" si="9"/>
        <v>115.67164179104479</v>
      </c>
      <c r="U296" s="34">
        <f t="shared" si="10"/>
        <v>117.11753731343285</v>
      </c>
      <c r="V296" t="s">
        <v>640</v>
      </c>
      <c r="W296" s="32">
        <v>15</v>
      </c>
      <c r="X296" s="32" t="s">
        <v>80</v>
      </c>
      <c r="AD296" s="1">
        <v>195021762935</v>
      </c>
      <c r="AN296">
        <v>30</v>
      </c>
      <c r="AO296" t="s">
        <v>81</v>
      </c>
    </row>
    <row r="297" spans="1:41" ht="90" x14ac:dyDescent="0.25">
      <c r="A297" s="2">
        <v>195021763079</v>
      </c>
      <c r="B297" t="s">
        <v>71</v>
      </c>
      <c r="C297" t="s">
        <v>72</v>
      </c>
      <c r="D297" t="s">
        <v>935</v>
      </c>
      <c r="E297" t="s">
        <v>936</v>
      </c>
      <c r="F297">
        <v>316210</v>
      </c>
      <c r="G297" s="35" t="s">
        <v>906</v>
      </c>
      <c r="H297" s="31" t="s">
        <v>937</v>
      </c>
      <c r="J297" t="s">
        <v>77</v>
      </c>
      <c r="M297">
        <v>145</v>
      </c>
      <c r="P297" t="s">
        <v>78</v>
      </c>
      <c r="Q297" s="55">
        <v>140.90909090909091</v>
      </c>
      <c r="R297" s="32">
        <v>77.5</v>
      </c>
      <c r="S297" s="33">
        <v>0.33</v>
      </c>
      <c r="T297" s="34">
        <f t="shared" si="9"/>
        <v>115.67164179104479</v>
      </c>
      <c r="U297" s="34">
        <f t="shared" si="10"/>
        <v>117.11753731343285</v>
      </c>
      <c r="V297" t="s">
        <v>640</v>
      </c>
      <c r="W297" s="32">
        <v>15</v>
      </c>
      <c r="X297" s="32" t="s">
        <v>80</v>
      </c>
      <c r="AD297" s="1">
        <v>195021763079</v>
      </c>
      <c r="AN297">
        <v>30</v>
      </c>
      <c r="AO297" t="s">
        <v>81</v>
      </c>
    </row>
    <row r="298" spans="1:41" ht="90" x14ac:dyDescent="0.25">
      <c r="A298" s="2">
        <v>195021762942</v>
      </c>
      <c r="B298" t="s">
        <v>71</v>
      </c>
      <c r="C298" t="s">
        <v>72</v>
      </c>
      <c r="D298" t="s">
        <v>938</v>
      </c>
      <c r="E298" t="s">
        <v>939</v>
      </c>
      <c r="F298">
        <v>316210</v>
      </c>
      <c r="G298" s="35" t="s">
        <v>906</v>
      </c>
      <c r="H298" s="31" t="s">
        <v>940</v>
      </c>
      <c r="J298" t="s">
        <v>77</v>
      </c>
      <c r="M298">
        <v>145</v>
      </c>
      <c r="P298" t="s">
        <v>78</v>
      </c>
      <c r="Q298" s="55">
        <v>140.90909090909091</v>
      </c>
      <c r="R298" s="32">
        <v>77.5</v>
      </c>
      <c r="S298" s="33">
        <v>0.33</v>
      </c>
      <c r="T298" s="34">
        <f t="shared" si="9"/>
        <v>115.67164179104479</v>
      </c>
      <c r="U298" s="34">
        <f t="shared" si="10"/>
        <v>117.11753731343285</v>
      </c>
      <c r="V298" t="s">
        <v>640</v>
      </c>
      <c r="W298" s="32">
        <v>15</v>
      </c>
      <c r="X298" s="32" t="s">
        <v>80</v>
      </c>
      <c r="AD298" s="1">
        <v>195021762942</v>
      </c>
      <c r="AN298">
        <v>30</v>
      </c>
      <c r="AO298" t="s">
        <v>81</v>
      </c>
    </row>
    <row r="299" spans="1:41" ht="90" x14ac:dyDescent="0.25">
      <c r="A299" s="2">
        <v>195021763086</v>
      </c>
      <c r="B299" t="s">
        <v>71</v>
      </c>
      <c r="C299" t="s">
        <v>72</v>
      </c>
      <c r="D299" t="s">
        <v>941</v>
      </c>
      <c r="E299" t="s">
        <v>942</v>
      </c>
      <c r="F299">
        <v>316210</v>
      </c>
      <c r="G299" s="35" t="s">
        <v>906</v>
      </c>
      <c r="H299" s="31" t="s">
        <v>943</v>
      </c>
      <c r="J299" t="s">
        <v>77</v>
      </c>
      <c r="M299">
        <v>145</v>
      </c>
      <c r="P299" t="s">
        <v>78</v>
      </c>
      <c r="Q299" s="55">
        <v>140.90909090909091</v>
      </c>
      <c r="R299" s="32">
        <v>77.5</v>
      </c>
      <c r="S299" s="33">
        <v>0.33</v>
      </c>
      <c r="T299" s="34">
        <f t="shared" si="9"/>
        <v>115.67164179104479</v>
      </c>
      <c r="U299" s="34">
        <f t="shared" si="10"/>
        <v>117.11753731343285</v>
      </c>
      <c r="V299" t="s">
        <v>640</v>
      </c>
      <c r="W299" s="32">
        <v>15</v>
      </c>
      <c r="X299" s="32" t="s">
        <v>80</v>
      </c>
      <c r="AD299" s="1">
        <v>195021763086</v>
      </c>
      <c r="AN299">
        <v>30</v>
      </c>
      <c r="AO299" t="s">
        <v>81</v>
      </c>
    </row>
    <row r="300" spans="1:41" ht="90" x14ac:dyDescent="0.25">
      <c r="A300" s="2">
        <v>195021762959</v>
      </c>
      <c r="B300" t="s">
        <v>71</v>
      </c>
      <c r="C300" t="s">
        <v>72</v>
      </c>
      <c r="D300" t="s">
        <v>944</v>
      </c>
      <c r="E300" t="s">
        <v>945</v>
      </c>
      <c r="F300">
        <v>316210</v>
      </c>
      <c r="G300" s="35" t="s">
        <v>906</v>
      </c>
      <c r="H300" s="31" t="s">
        <v>946</v>
      </c>
      <c r="J300" t="s">
        <v>77</v>
      </c>
      <c r="M300">
        <v>145</v>
      </c>
      <c r="P300" t="s">
        <v>78</v>
      </c>
      <c r="Q300" s="55">
        <v>140.90909090909091</v>
      </c>
      <c r="R300" s="32">
        <v>77.5</v>
      </c>
      <c r="S300" s="33">
        <v>0.33</v>
      </c>
      <c r="T300" s="34">
        <f t="shared" si="9"/>
        <v>115.67164179104479</v>
      </c>
      <c r="U300" s="34">
        <f t="shared" si="10"/>
        <v>117.11753731343285</v>
      </c>
      <c r="V300" t="s">
        <v>640</v>
      </c>
      <c r="W300" s="32">
        <v>15</v>
      </c>
      <c r="X300" s="32" t="s">
        <v>80</v>
      </c>
      <c r="AD300" s="1">
        <v>195021762959</v>
      </c>
      <c r="AN300">
        <v>30</v>
      </c>
      <c r="AO300" t="s">
        <v>81</v>
      </c>
    </row>
    <row r="301" spans="1:41" ht="90" x14ac:dyDescent="0.25">
      <c r="A301" s="2">
        <v>195021763093</v>
      </c>
      <c r="B301" t="s">
        <v>71</v>
      </c>
      <c r="C301" t="s">
        <v>72</v>
      </c>
      <c r="D301" t="s">
        <v>947</v>
      </c>
      <c r="E301" t="s">
        <v>948</v>
      </c>
      <c r="F301">
        <v>316210</v>
      </c>
      <c r="G301" s="35" t="s">
        <v>906</v>
      </c>
      <c r="H301" s="31" t="s">
        <v>949</v>
      </c>
      <c r="J301" t="s">
        <v>77</v>
      </c>
      <c r="M301">
        <v>145</v>
      </c>
      <c r="P301" t="s">
        <v>78</v>
      </c>
      <c r="Q301" s="55">
        <v>140.90909090909091</v>
      </c>
      <c r="R301" s="32">
        <v>77.5</v>
      </c>
      <c r="S301" s="33">
        <v>0.33</v>
      </c>
      <c r="T301" s="34">
        <f t="shared" si="9"/>
        <v>115.67164179104479</v>
      </c>
      <c r="U301" s="34">
        <f t="shared" si="10"/>
        <v>117.11753731343285</v>
      </c>
      <c r="V301" t="s">
        <v>640</v>
      </c>
      <c r="W301" s="32">
        <v>15</v>
      </c>
      <c r="X301" s="32" t="s">
        <v>80</v>
      </c>
      <c r="AD301" s="1">
        <v>195021763093</v>
      </c>
      <c r="AN301">
        <v>30</v>
      </c>
      <c r="AO301" t="s">
        <v>81</v>
      </c>
    </row>
    <row r="302" spans="1:41" ht="90" x14ac:dyDescent="0.25">
      <c r="A302" s="2">
        <v>195021762966</v>
      </c>
      <c r="B302" t="s">
        <v>71</v>
      </c>
      <c r="C302" t="s">
        <v>72</v>
      </c>
      <c r="D302" t="s">
        <v>950</v>
      </c>
      <c r="E302" t="s">
        <v>951</v>
      </c>
      <c r="F302">
        <v>316210</v>
      </c>
      <c r="G302" s="35" t="s">
        <v>906</v>
      </c>
      <c r="H302" s="31" t="s">
        <v>952</v>
      </c>
      <c r="J302" t="s">
        <v>77</v>
      </c>
      <c r="M302">
        <v>145</v>
      </c>
      <c r="P302" t="s">
        <v>78</v>
      </c>
      <c r="Q302" s="55">
        <v>140.90909090909091</v>
      </c>
      <c r="R302" s="32">
        <v>77.5</v>
      </c>
      <c r="S302" s="33">
        <v>0.33</v>
      </c>
      <c r="T302" s="34">
        <f t="shared" si="9"/>
        <v>115.67164179104479</v>
      </c>
      <c r="U302" s="34">
        <f t="shared" si="10"/>
        <v>117.11753731343285</v>
      </c>
      <c r="V302" t="s">
        <v>640</v>
      </c>
      <c r="W302" s="32">
        <v>15</v>
      </c>
      <c r="X302" s="32" t="s">
        <v>80</v>
      </c>
      <c r="AD302" s="1">
        <v>195021762966</v>
      </c>
      <c r="AN302">
        <v>30</v>
      </c>
      <c r="AO302" t="s">
        <v>81</v>
      </c>
    </row>
    <row r="303" spans="1:41" ht="90" x14ac:dyDescent="0.25">
      <c r="A303" s="2">
        <v>195021763109</v>
      </c>
      <c r="B303" t="s">
        <v>71</v>
      </c>
      <c r="C303" t="s">
        <v>72</v>
      </c>
      <c r="D303" t="s">
        <v>953</v>
      </c>
      <c r="E303" t="s">
        <v>954</v>
      </c>
      <c r="F303">
        <v>316210</v>
      </c>
      <c r="G303" s="35" t="s">
        <v>906</v>
      </c>
      <c r="H303" s="31" t="s">
        <v>955</v>
      </c>
      <c r="J303" t="s">
        <v>77</v>
      </c>
      <c r="M303">
        <v>145</v>
      </c>
      <c r="P303" t="s">
        <v>78</v>
      </c>
      <c r="Q303" s="55">
        <v>140.90909090909091</v>
      </c>
      <c r="R303" s="32">
        <v>77.5</v>
      </c>
      <c r="S303" s="33">
        <v>0.33</v>
      </c>
      <c r="T303" s="34">
        <f t="shared" si="9"/>
        <v>115.67164179104479</v>
      </c>
      <c r="U303" s="34">
        <f t="shared" si="10"/>
        <v>117.11753731343285</v>
      </c>
      <c r="V303" t="s">
        <v>640</v>
      </c>
      <c r="W303" s="32">
        <v>15</v>
      </c>
      <c r="X303" s="32" t="s">
        <v>80</v>
      </c>
      <c r="AD303" s="1">
        <v>195021763109</v>
      </c>
      <c r="AN303">
        <v>30</v>
      </c>
      <c r="AO303" t="s">
        <v>81</v>
      </c>
    </row>
    <row r="304" spans="1:41" ht="90" x14ac:dyDescent="0.25">
      <c r="A304" s="2">
        <v>195021762973</v>
      </c>
      <c r="B304" t="s">
        <v>71</v>
      </c>
      <c r="C304" t="s">
        <v>72</v>
      </c>
      <c r="D304" t="s">
        <v>956</v>
      </c>
      <c r="E304" t="s">
        <v>957</v>
      </c>
      <c r="F304">
        <v>316210</v>
      </c>
      <c r="G304" s="35" t="s">
        <v>906</v>
      </c>
      <c r="H304" s="31" t="s">
        <v>958</v>
      </c>
      <c r="J304" t="s">
        <v>77</v>
      </c>
      <c r="M304">
        <v>145</v>
      </c>
      <c r="P304" t="s">
        <v>78</v>
      </c>
      <c r="Q304" s="55">
        <v>140.90909090909091</v>
      </c>
      <c r="R304" s="32">
        <v>77.5</v>
      </c>
      <c r="S304" s="33">
        <v>0.33</v>
      </c>
      <c r="T304" s="34">
        <f t="shared" si="9"/>
        <v>115.67164179104479</v>
      </c>
      <c r="U304" s="34">
        <f t="shared" si="10"/>
        <v>117.11753731343285</v>
      </c>
      <c r="V304" t="s">
        <v>640</v>
      </c>
      <c r="W304" s="32">
        <v>15</v>
      </c>
      <c r="X304" s="32" t="s">
        <v>80</v>
      </c>
      <c r="AD304" s="1">
        <v>195021762973</v>
      </c>
      <c r="AN304">
        <v>30</v>
      </c>
      <c r="AO304" t="s">
        <v>81</v>
      </c>
    </row>
    <row r="305" spans="1:41" ht="90" x14ac:dyDescent="0.25">
      <c r="A305" s="2">
        <v>195021763116</v>
      </c>
      <c r="B305" t="s">
        <v>71</v>
      </c>
      <c r="C305" t="s">
        <v>72</v>
      </c>
      <c r="D305" t="s">
        <v>959</v>
      </c>
      <c r="E305" t="s">
        <v>960</v>
      </c>
      <c r="F305">
        <v>316210</v>
      </c>
      <c r="G305" s="35" t="s">
        <v>906</v>
      </c>
      <c r="H305" s="31" t="s">
        <v>961</v>
      </c>
      <c r="J305" t="s">
        <v>77</v>
      </c>
      <c r="M305">
        <v>145</v>
      </c>
      <c r="P305" t="s">
        <v>78</v>
      </c>
      <c r="Q305" s="55">
        <v>140.90909090909091</v>
      </c>
      <c r="R305" s="32">
        <v>77.5</v>
      </c>
      <c r="S305" s="33">
        <v>0.33</v>
      </c>
      <c r="T305" s="34">
        <f t="shared" si="9"/>
        <v>115.67164179104479</v>
      </c>
      <c r="U305" s="34">
        <f t="shared" si="10"/>
        <v>117.11753731343285</v>
      </c>
      <c r="V305" t="s">
        <v>640</v>
      </c>
      <c r="W305" s="32">
        <v>15</v>
      </c>
      <c r="X305" s="32" t="s">
        <v>80</v>
      </c>
      <c r="AD305" s="1">
        <v>195021763116</v>
      </c>
      <c r="AN305">
        <v>30</v>
      </c>
      <c r="AO305" t="s">
        <v>81</v>
      </c>
    </row>
    <row r="306" spans="1:41" ht="90" x14ac:dyDescent="0.25">
      <c r="A306" s="2">
        <v>195021762980</v>
      </c>
      <c r="B306" t="s">
        <v>71</v>
      </c>
      <c r="C306" t="s">
        <v>72</v>
      </c>
      <c r="D306" t="s">
        <v>962</v>
      </c>
      <c r="E306" t="s">
        <v>963</v>
      </c>
      <c r="F306">
        <v>316210</v>
      </c>
      <c r="G306" s="35" t="s">
        <v>906</v>
      </c>
      <c r="H306" s="31" t="s">
        <v>964</v>
      </c>
      <c r="J306" t="s">
        <v>77</v>
      </c>
      <c r="M306">
        <v>145</v>
      </c>
      <c r="P306" t="s">
        <v>78</v>
      </c>
      <c r="Q306" s="55">
        <v>140.90909090909091</v>
      </c>
      <c r="R306" s="32">
        <v>77.5</v>
      </c>
      <c r="S306" s="33">
        <v>0.33</v>
      </c>
      <c r="T306" s="34">
        <f t="shared" si="9"/>
        <v>115.67164179104479</v>
      </c>
      <c r="U306" s="34">
        <f t="shared" si="10"/>
        <v>117.11753731343285</v>
      </c>
      <c r="V306" t="s">
        <v>640</v>
      </c>
      <c r="W306" s="32">
        <v>15</v>
      </c>
      <c r="X306" s="32" t="s">
        <v>80</v>
      </c>
      <c r="AD306" s="1">
        <v>195021762980</v>
      </c>
      <c r="AN306">
        <v>30</v>
      </c>
      <c r="AO306" t="s">
        <v>81</v>
      </c>
    </row>
    <row r="307" spans="1:41" ht="90" x14ac:dyDescent="0.25">
      <c r="A307" s="2">
        <v>195021763123</v>
      </c>
      <c r="B307" t="s">
        <v>71</v>
      </c>
      <c r="C307" t="s">
        <v>72</v>
      </c>
      <c r="D307" t="s">
        <v>965</v>
      </c>
      <c r="E307" t="s">
        <v>966</v>
      </c>
      <c r="F307">
        <v>316210</v>
      </c>
      <c r="G307" s="35" t="s">
        <v>906</v>
      </c>
      <c r="H307" s="31" t="s">
        <v>967</v>
      </c>
      <c r="J307" t="s">
        <v>77</v>
      </c>
      <c r="M307">
        <v>145</v>
      </c>
      <c r="P307" t="s">
        <v>78</v>
      </c>
      <c r="Q307" s="55">
        <v>140.90909090909091</v>
      </c>
      <c r="R307" s="32">
        <v>77.5</v>
      </c>
      <c r="S307" s="33">
        <v>0.33</v>
      </c>
      <c r="T307" s="34">
        <f t="shared" si="9"/>
        <v>115.67164179104479</v>
      </c>
      <c r="U307" s="34">
        <f t="shared" si="10"/>
        <v>117.11753731343285</v>
      </c>
      <c r="V307" t="s">
        <v>640</v>
      </c>
      <c r="W307" s="32">
        <v>15</v>
      </c>
      <c r="X307" s="32" t="s">
        <v>80</v>
      </c>
      <c r="AD307" s="1">
        <v>195021763123</v>
      </c>
      <c r="AN307">
        <v>30</v>
      </c>
      <c r="AO307" t="s">
        <v>81</v>
      </c>
    </row>
    <row r="308" spans="1:41" ht="90" x14ac:dyDescent="0.25">
      <c r="A308" s="2">
        <v>195021762997</v>
      </c>
      <c r="B308" t="s">
        <v>71</v>
      </c>
      <c r="C308" t="s">
        <v>72</v>
      </c>
      <c r="D308" t="s">
        <v>968</v>
      </c>
      <c r="E308" t="s">
        <v>969</v>
      </c>
      <c r="F308">
        <v>316210</v>
      </c>
      <c r="G308" s="35" t="s">
        <v>906</v>
      </c>
      <c r="H308" s="31" t="s">
        <v>970</v>
      </c>
      <c r="J308" t="s">
        <v>77</v>
      </c>
      <c r="M308">
        <v>145</v>
      </c>
      <c r="P308" t="s">
        <v>78</v>
      </c>
      <c r="Q308" s="55">
        <v>140.90909090909091</v>
      </c>
      <c r="R308" s="32">
        <v>77.5</v>
      </c>
      <c r="S308" s="33">
        <v>0.33</v>
      </c>
      <c r="T308" s="34">
        <f t="shared" si="9"/>
        <v>115.67164179104479</v>
      </c>
      <c r="U308" s="34">
        <f t="shared" si="10"/>
        <v>117.11753731343285</v>
      </c>
      <c r="V308" t="s">
        <v>640</v>
      </c>
      <c r="W308" s="32">
        <v>15</v>
      </c>
      <c r="X308" s="32" t="s">
        <v>80</v>
      </c>
      <c r="AD308" s="1">
        <v>195021762997</v>
      </c>
      <c r="AN308">
        <v>30</v>
      </c>
      <c r="AO308" t="s">
        <v>81</v>
      </c>
    </row>
    <row r="309" spans="1:41" ht="90" x14ac:dyDescent="0.25">
      <c r="A309" s="2">
        <v>195021763130</v>
      </c>
      <c r="B309" t="s">
        <v>71</v>
      </c>
      <c r="C309" t="s">
        <v>72</v>
      </c>
      <c r="D309" t="s">
        <v>971</v>
      </c>
      <c r="E309" t="s">
        <v>972</v>
      </c>
      <c r="F309">
        <v>316210</v>
      </c>
      <c r="G309" s="35" t="s">
        <v>906</v>
      </c>
      <c r="H309" s="31" t="s">
        <v>973</v>
      </c>
      <c r="J309" t="s">
        <v>77</v>
      </c>
      <c r="M309">
        <v>145</v>
      </c>
      <c r="P309" t="s">
        <v>78</v>
      </c>
      <c r="Q309" s="55">
        <v>140.90909090909091</v>
      </c>
      <c r="R309" s="32">
        <v>77.5</v>
      </c>
      <c r="S309" s="33">
        <v>0.33</v>
      </c>
      <c r="T309" s="34">
        <f t="shared" si="9"/>
        <v>115.67164179104479</v>
      </c>
      <c r="U309" s="34">
        <f t="shared" si="10"/>
        <v>117.11753731343285</v>
      </c>
      <c r="V309" t="s">
        <v>640</v>
      </c>
      <c r="W309" s="32">
        <v>15</v>
      </c>
      <c r="X309" s="32" t="s">
        <v>80</v>
      </c>
      <c r="AD309" s="1">
        <v>195021763130</v>
      </c>
      <c r="AN309">
        <v>30</v>
      </c>
      <c r="AO309" t="s">
        <v>81</v>
      </c>
    </row>
    <row r="310" spans="1:41" ht="90" x14ac:dyDescent="0.25">
      <c r="A310" s="2">
        <v>195021763000</v>
      </c>
      <c r="B310" t="s">
        <v>71</v>
      </c>
      <c r="C310" t="s">
        <v>72</v>
      </c>
      <c r="D310" t="s">
        <v>974</v>
      </c>
      <c r="E310" t="s">
        <v>975</v>
      </c>
      <c r="F310">
        <v>316210</v>
      </c>
      <c r="G310" s="35" t="s">
        <v>906</v>
      </c>
      <c r="H310" s="31" t="s">
        <v>976</v>
      </c>
      <c r="J310" t="s">
        <v>77</v>
      </c>
      <c r="M310">
        <v>145</v>
      </c>
      <c r="P310" t="s">
        <v>78</v>
      </c>
      <c r="Q310" s="55">
        <v>140.90909090909091</v>
      </c>
      <c r="R310" s="32">
        <v>77.5</v>
      </c>
      <c r="S310" s="33">
        <v>0.33</v>
      </c>
      <c r="T310" s="34">
        <f t="shared" si="9"/>
        <v>115.67164179104479</v>
      </c>
      <c r="U310" s="34">
        <f t="shared" si="10"/>
        <v>117.11753731343285</v>
      </c>
      <c r="V310" t="s">
        <v>640</v>
      </c>
      <c r="W310" s="32">
        <v>15</v>
      </c>
      <c r="X310" s="32" t="s">
        <v>80</v>
      </c>
      <c r="AD310" s="1">
        <v>195021763000</v>
      </c>
      <c r="AN310">
        <v>30</v>
      </c>
      <c r="AO310" t="s">
        <v>81</v>
      </c>
    </row>
    <row r="311" spans="1:41" ht="90" x14ac:dyDescent="0.25">
      <c r="A311" s="2">
        <v>195021763147</v>
      </c>
      <c r="B311" t="s">
        <v>71</v>
      </c>
      <c r="C311" t="s">
        <v>72</v>
      </c>
      <c r="D311" t="s">
        <v>977</v>
      </c>
      <c r="E311" t="s">
        <v>978</v>
      </c>
      <c r="F311">
        <v>316210</v>
      </c>
      <c r="G311" s="35" t="s">
        <v>906</v>
      </c>
      <c r="H311" s="31" t="s">
        <v>979</v>
      </c>
      <c r="J311" t="s">
        <v>77</v>
      </c>
      <c r="M311">
        <v>145</v>
      </c>
      <c r="P311" t="s">
        <v>78</v>
      </c>
      <c r="Q311" s="55">
        <v>140.90909090909091</v>
      </c>
      <c r="R311" s="32">
        <v>77.5</v>
      </c>
      <c r="S311" s="33">
        <v>0.33</v>
      </c>
      <c r="T311" s="34">
        <f t="shared" si="9"/>
        <v>115.67164179104479</v>
      </c>
      <c r="U311" s="34">
        <f t="shared" si="10"/>
        <v>117.11753731343285</v>
      </c>
      <c r="V311" t="s">
        <v>640</v>
      </c>
      <c r="W311" s="32">
        <v>15</v>
      </c>
      <c r="X311" s="32" t="s">
        <v>80</v>
      </c>
      <c r="AD311" s="1">
        <v>195021763147</v>
      </c>
      <c r="AN311">
        <v>30</v>
      </c>
      <c r="AO311" t="s">
        <v>81</v>
      </c>
    </row>
    <row r="312" spans="1:41" ht="90" x14ac:dyDescent="0.25">
      <c r="A312" s="2">
        <v>195021763017</v>
      </c>
      <c r="B312" t="s">
        <v>71</v>
      </c>
      <c r="C312" t="s">
        <v>72</v>
      </c>
      <c r="D312" t="s">
        <v>980</v>
      </c>
      <c r="E312" t="s">
        <v>981</v>
      </c>
      <c r="F312">
        <v>316210</v>
      </c>
      <c r="G312" s="35" t="s">
        <v>906</v>
      </c>
      <c r="H312" s="31" t="s">
        <v>982</v>
      </c>
      <c r="J312" t="s">
        <v>77</v>
      </c>
      <c r="M312">
        <v>145</v>
      </c>
      <c r="P312" t="s">
        <v>78</v>
      </c>
      <c r="Q312" s="55">
        <v>140.90909090909091</v>
      </c>
      <c r="R312" s="32">
        <v>77.5</v>
      </c>
      <c r="S312" s="33">
        <v>0.33</v>
      </c>
      <c r="T312" s="34">
        <f t="shared" si="9"/>
        <v>115.67164179104479</v>
      </c>
      <c r="U312" s="34">
        <f t="shared" si="10"/>
        <v>117.11753731343285</v>
      </c>
      <c r="V312" t="s">
        <v>640</v>
      </c>
      <c r="W312" s="32">
        <v>15</v>
      </c>
      <c r="X312" s="32" t="s">
        <v>80</v>
      </c>
      <c r="AD312" s="1">
        <v>195021763017</v>
      </c>
      <c r="AN312">
        <v>30</v>
      </c>
      <c r="AO312" t="s">
        <v>81</v>
      </c>
    </row>
    <row r="313" spans="1:41" ht="90" x14ac:dyDescent="0.25">
      <c r="A313" s="2">
        <v>195021763154</v>
      </c>
      <c r="B313" t="s">
        <v>71</v>
      </c>
      <c r="C313" t="s">
        <v>72</v>
      </c>
      <c r="D313" t="s">
        <v>983</v>
      </c>
      <c r="E313" t="s">
        <v>984</v>
      </c>
      <c r="F313">
        <v>316210</v>
      </c>
      <c r="G313" s="35" t="s">
        <v>906</v>
      </c>
      <c r="H313" s="31" t="s">
        <v>985</v>
      </c>
      <c r="J313" t="s">
        <v>77</v>
      </c>
      <c r="M313">
        <v>145</v>
      </c>
      <c r="P313" t="s">
        <v>78</v>
      </c>
      <c r="Q313" s="55">
        <v>140.90909090909091</v>
      </c>
      <c r="R313" s="32">
        <v>77.5</v>
      </c>
      <c r="S313" s="33">
        <v>0.33</v>
      </c>
      <c r="T313" s="34">
        <f t="shared" si="9"/>
        <v>115.67164179104479</v>
      </c>
      <c r="U313" s="34">
        <f t="shared" si="10"/>
        <v>117.11753731343285</v>
      </c>
      <c r="V313" t="s">
        <v>640</v>
      </c>
      <c r="W313" s="32">
        <v>15</v>
      </c>
      <c r="X313" s="32" t="s">
        <v>80</v>
      </c>
      <c r="AD313" s="1">
        <v>195021763154</v>
      </c>
      <c r="AN313">
        <v>30</v>
      </c>
      <c r="AO313" t="s">
        <v>81</v>
      </c>
    </row>
    <row r="314" spans="1:41" ht="60" x14ac:dyDescent="0.25">
      <c r="A314" s="2">
        <v>195021763291</v>
      </c>
      <c r="B314" t="s">
        <v>71</v>
      </c>
      <c r="C314" t="s">
        <v>72</v>
      </c>
      <c r="D314" t="s">
        <v>986</v>
      </c>
      <c r="E314" t="s">
        <v>987</v>
      </c>
      <c r="F314">
        <v>316210</v>
      </c>
      <c r="G314" s="35" t="s">
        <v>906</v>
      </c>
      <c r="H314" s="31" t="s">
        <v>988</v>
      </c>
      <c r="J314" t="s">
        <v>77</v>
      </c>
      <c r="M314">
        <v>130</v>
      </c>
      <c r="P314" t="s">
        <v>78</v>
      </c>
      <c r="Q314" s="55">
        <v>127.27272727272727</v>
      </c>
      <c r="R314" s="32">
        <v>70</v>
      </c>
      <c r="S314" s="33">
        <v>0.33</v>
      </c>
      <c r="T314" s="34">
        <f t="shared" si="9"/>
        <v>104.47761194029852</v>
      </c>
      <c r="U314" s="34">
        <f t="shared" si="10"/>
        <v>105.78358208955224</v>
      </c>
      <c r="V314" t="s">
        <v>640</v>
      </c>
      <c r="W314" s="32">
        <v>15</v>
      </c>
      <c r="X314" s="32" t="s">
        <v>80</v>
      </c>
      <c r="AD314" s="1">
        <v>195021763291</v>
      </c>
      <c r="AN314">
        <v>30</v>
      </c>
      <c r="AO314" t="s">
        <v>81</v>
      </c>
    </row>
    <row r="315" spans="1:41" ht="60" x14ac:dyDescent="0.25">
      <c r="A315" s="2">
        <v>195021763161</v>
      </c>
      <c r="B315" t="s">
        <v>71</v>
      </c>
      <c r="C315" t="s">
        <v>72</v>
      </c>
      <c r="D315" t="s">
        <v>989</v>
      </c>
      <c r="E315" t="s">
        <v>990</v>
      </c>
      <c r="F315">
        <v>316210</v>
      </c>
      <c r="G315" s="35" t="s">
        <v>906</v>
      </c>
      <c r="H315" s="31" t="s">
        <v>991</v>
      </c>
      <c r="J315" t="s">
        <v>77</v>
      </c>
      <c r="M315">
        <v>130</v>
      </c>
      <c r="P315" t="s">
        <v>78</v>
      </c>
      <c r="Q315" s="55">
        <v>127.27272727272727</v>
      </c>
      <c r="R315" s="32">
        <v>70</v>
      </c>
      <c r="S315" s="33">
        <v>0.33</v>
      </c>
      <c r="T315" s="34">
        <f t="shared" si="9"/>
        <v>104.47761194029852</v>
      </c>
      <c r="U315" s="34">
        <f t="shared" si="10"/>
        <v>105.78358208955224</v>
      </c>
      <c r="V315" t="s">
        <v>640</v>
      </c>
      <c r="W315" s="32">
        <v>15</v>
      </c>
      <c r="X315" s="32" t="s">
        <v>80</v>
      </c>
      <c r="AD315" s="1">
        <v>195021763161</v>
      </c>
      <c r="AN315">
        <v>30</v>
      </c>
      <c r="AO315" t="s">
        <v>81</v>
      </c>
    </row>
    <row r="316" spans="1:41" ht="60" x14ac:dyDescent="0.25">
      <c r="A316" s="2">
        <v>195021763307</v>
      </c>
      <c r="B316" t="s">
        <v>71</v>
      </c>
      <c r="C316" t="s">
        <v>72</v>
      </c>
      <c r="D316" t="s">
        <v>992</v>
      </c>
      <c r="E316" t="s">
        <v>993</v>
      </c>
      <c r="F316">
        <v>316210</v>
      </c>
      <c r="G316" s="35" t="s">
        <v>906</v>
      </c>
      <c r="H316" s="31" t="s">
        <v>994</v>
      </c>
      <c r="J316" t="s">
        <v>77</v>
      </c>
      <c r="M316">
        <v>130</v>
      </c>
      <c r="P316" t="s">
        <v>78</v>
      </c>
      <c r="Q316" s="55">
        <v>127.27272727272727</v>
      </c>
      <c r="R316" s="32">
        <v>70</v>
      </c>
      <c r="S316" s="33">
        <v>0.33</v>
      </c>
      <c r="T316" s="34">
        <f t="shared" si="9"/>
        <v>104.47761194029852</v>
      </c>
      <c r="U316" s="34">
        <f t="shared" si="10"/>
        <v>105.78358208955224</v>
      </c>
      <c r="V316" t="s">
        <v>640</v>
      </c>
      <c r="W316" s="32">
        <v>15</v>
      </c>
      <c r="X316" s="32" t="s">
        <v>80</v>
      </c>
      <c r="AD316" s="1">
        <v>195021763307</v>
      </c>
      <c r="AN316">
        <v>30</v>
      </c>
      <c r="AO316" t="s">
        <v>81</v>
      </c>
    </row>
    <row r="317" spans="1:41" ht="60" x14ac:dyDescent="0.25">
      <c r="A317" s="2">
        <v>195021763178</v>
      </c>
      <c r="B317" t="s">
        <v>71</v>
      </c>
      <c r="C317" t="s">
        <v>72</v>
      </c>
      <c r="D317" t="s">
        <v>995</v>
      </c>
      <c r="E317" t="s">
        <v>996</v>
      </c>
      <c r="F317">
        <v>316210</v>
      </c>
      <c r="G317" s="35" t="s">
        <v>906</v>
      </c>
      <c r="H317" s="31" t="s">
        <v>997</v>
      </c>
      <c r="J317" t="s">
        <v>77</v>
      </c>
      <c r="M317">
        <v>130</v>
      </c>
      <c r="P317" t="s">
        <v>78</v>
      </c>
      <c r="Q317" s="55">
        <v>127.27272727272727</v>
      </c>
      <c r="R317" s="32">
        <v>70</v>
      </c>
      <c r="S317" s="33">
        <v>0.33</v>
      </c>
      <c r="T317" s="34">
        <f t="shared" si="9"/>
        <v>104.47761194029852</v>
      </c>
      <c r="U317" s="34">
        <f t="shared" si="10"/>
        <v>105.78358208955224</v>
      </c>
      <c r="V317" t="s">
        <v>640</v>
      </c>
      <c r="W317" s="32">
        <v>15</v>
      </c>
      <c r="X317" s="32" t="s">
        <v>80</v>
      </c>
      <c r="AD317" s="1">
        <v>195021763178</v>
      </c>
      <c r="AN317">
        <v>30</v>
      </c>
      <c r="AO317" t="s">
        <v>81</v>
      </c>
    </row>
    <row r="318" spans="1:41" ht="60" x14ac:dyDescent="0.25">
      <c r="A318" s="2">
        <v>195021763314</v>
      </c>
      <c r="B318" t="s">
        <v>71</v>
      </c>
      <c r="C318" t="s">
        <v>72</v>
      </c>
      <c r="D318" t="s">
        <v>998</v>
      </c>
      <c r="E318" t="s">
        <v>999</v>
      </c>
      <c r="F318">
        <v>316210</v>
      </c>
      <c r="G318" s="35" t="s">
        <v>906</v>
      </c>
      <c r="H318" s="31" t="s">
        <v>1000</v>
      </c>
      <c r="J318" t="s">
        <v>77</v>
      </c>
      <c r="M318">
        <v>130</v>
      </c>
      <c r="P318" t="s">
        <v>78</v>
      </c>
      <c r="Q318" s="55">
        <v>127.27272727272727</v>
      </c>
      <c r="R318" s="32">
        <v>70</v>
      </c>
      <c r="S318" s="33">
        <v>0.33</v>
      </c>
      <c r="T318" s="34">
        <f t="shared" si="9"/>
        <v>104.47761194029852</v>
      </c>
      <c r="U318" s="34">
        <f t="shared" si="10"/>
        <v>105.78358208955224</v>
      </c>
      <c r="V318" t="s">
        <v>640</v>
      </c>
      <c r="W318" s="32">
        <v>15</v>
      </c>
      <c r="X318" s="32" t="s">
        <v>80</v>
      </c>
      <c r="AD318" s="1">
        <v>195021763314</v>
      </c>
      <c r="AN318">
        <v>30</v>
      </c>
      <c r="AO318" t="s">
        <v>81</v>
      </c>
    </row>
    <row r="319" spans="1:41" ht="60" x14ac:dyDescent="0.25">
      <c r="A319" s="2">
        <v>195021763185</v>
      </c>
      <c r="B319" t="s">
        <v>71</v>
      </c>
      <c r="C319" t="s">
        <v>72</v>
      </c>
      <c r="D319" t="s">
        <v>1001</v>
      </c>
      <c r="E319" t="s">
        <v>1002</v>
      </c>
      <c r="F319">
        <v>316210</v>
      </c>
      <c r="G319" s="35" t="s">
        <v>906</v>
      </c>
      <c r="H319" s="31" t="s">
        <v>1003</v>
      </c>
      <c r="J319" t="s">
        <v>77</v>
      </c>
      <c r="M319">
        <v>130</v>
      </c>
      <c r="P319" t="s">
        <v>78</v>
      </c>
      <c r="Q319" s="55">
        <v>127.27272727272727</v>
      </c>
      <c r="R319" s="32">
        <v>70</v>
      </c>
      <c r="S319" s="33">
        <v>0.33</v>
      </c>
      <c r="T319" s="34">
        <f t="shared" si="9"/>
        <v>104.47761194029852</v>
      </c>
      <c r="U319" s="34">
        <f t="shared" si="10"/>
        <v>105.78358208955224</v>
      </c>
      <c r="V319" t="s">
        <v>640</v>
      </c>
      <c r="W319" s="32">
        <v>15</v>
      </c>
      <c r="X319" s="32" t="s">
        <v>80</v>
      </c>
      <c r="AD319" s="1">
        <v>195021763185</v>
      </c>
      <c r="AN319">
        <v>30</v>
      </c>
      <c r="AO319" t="s">
        <v>81</v>
      </c>
    </row>
    <row r="320" spans="1:41" ht="60" x14ac:dyDescent="0.25">
      <c r="A320" s="2">
        <v>195021763321</v>
      </c>
      <c r="B320" t="s">
        <v>71</v>
      </c>
      <c r="C320" t="s">
        <v>72</v>
      </c>
      <c r="D320" t="s">
        <v>1004</v>
      </c>
      <c r="E320" t="s">
        <v>1005</v>
      </c>
      <c r="F320">
        <v>316210</v>
      </c>
      <c r="G320" s="35" t="s">
        <v>906</v>
      </c>
      <c r="H320" s="31" t="s">
        <v>1006</v>
      </c>
      <c r="J320" t="s">
        <v>77</v>
      </c>
      <c r="M320">
        <v>130</v>
      </c>
      <c r="P320" t="s">
        <v>78</v>
      </c>
      <c r="Q320" s="55">
        <v>127.27272727272727</v>
      </c>
      <c r="R320" s="32">
        <v>70</v>
      </c>
      <c r="S320" s="33">
        <v>0.33</v>
      </c>
      <c r="T320" s="34">
        <f t="shared" si="9"/>
        <v>104.47761194029852</v>
      </c>
      <c r="U320" s="34">
        <f t="shared" si="10"/>
        <v>105.78358208955224</v>
      </c>
      <c r="V320" t="s">
        <v>640</v>
      </c>
      <c r="W320" s="32">
        <v>15</v>
      </c>
      <c r="X320" s="32" t="s">
        <v>80</v>
      </c>
      <c r="AD320" s="1">
        <v>195021763321</v>
      </c>
      <c r="AN320">
        <v>30</v>
      </c>
      <c r="AO320" t="s">
        <v>81</v>
      </c>
    </row>
    <row r="321" spans="1:41" ht="60" x14ac:dyDescent="0.25">
      <c r="A321" s="2">
        <v>195021763192</v>
      </c>
      <c r="B321" t="s">
        <v>71</v>
      </c>
      <c r="C321" t="s">
        <v>72</v>
      </c>
      <c r="D321" t="s">
        <v>1007</v>
      </c>
      <c r="E321" t="s">
        <v>1008</v>
      </c>
      <c r="F321">
        <v>316210</v>
      </c>
      <c r="G321" s="35" t="s">
        <v>906</v>
      </c>
      <c r="H321" s="31" t="s">
        <v>1009</v>
      </c>
      <c r="J321" t="s">
        <v>77</v>
      </c>
      <c r="M321">
        <v>130</v>
      </c>
      <c r="P321" t="s">
        <v>78</v>
      </c>
      <c r="Q321" s="55">
        <v>127.27272727272727</v>
      </c>
      <c r="R321" s="32">
        <v>70</v>
      </c>
      <c r="S321" s="33">
        <v>0.33</v>
      </c>
      <c r="T321" s="34">
        <f t="shared" si="9"/>
        <v>104.47761194029852</v>
      </c>
      <c r="U321" s="34">
        <f t="shared" si="10"/>
        <v>105.78358208955224</v>
      </c>
      <c r="V321" t="s">
        <v>640</v>
      </c>
      <c r="W321" s="32">
        <v>15</v>
      </c>
      <c r="X321" s="32" t="s">
        <v>80</v>
      </c>
      <c r="AD321" s="1">
        <v>195021763192</v>
      </c>
      <c r="AN321">
        <v>30</v>
      </c>
      <c r="AO321" t="s">
        <v>81</v>
      </c>
    </row>
    <row r="322" spans="1:41" ht="60" x14ac:dyDescent="0.25">
      <c r="A322" s="2">
        <v>195021763338</v>
      </c>
      <c r="B322" t="s">
        <v>71</v>
      </c>
      <c r="C322" t="s">
        <v>72</v>
      </c>
      <c r="D322" t="s">
        <v>1010</v>
      </c>
      <c r="E322" t="s">
        <v>1011</v>
      </c>
      <c r="F322">
        <v>316210</v>
      </c>
      <c r="G322" s="35" t="s">
        <v>906</v>
      </c>
      <c r="H322" s="31" t="s">
        <v>1012</v>
      </c>
      <c r="J322" t="s">
        <v>77</v>
      </c>
      <c r="M322">
        <v>130</v>
      </c>
      <c r="P322" t="s">
        <v>78</v>
      </c>
      <c r="Q322" s="55">
        <v>127.27272727272727</v>
      </c>
      <c r="R322" s="32">
        <v>70</v>
      </c>
      <c r="S322" s="33">
        <v>0.33</v>
      </c>
      <c r="T322" s="34">
        <f t="shared" si="9"/>
        <v>104.47761194029852</v>
      </c>
      <c r="U322" s="34">
        <f t="shared" si="10"/>
        <v>105.78358208955224</v>
      </c>
      <c r="V322" t="s">
        <v>640</v>
      </c>
      <c r="W322" s="32">
        <v>15</v>
      </c>
      <c r="X322" s="32" t="s">
        <v>80</v>
      </c>
      <c r="AD322" s="1">
        <v>195021763338</v>
      </c>
      <c r="AN322">
        <v>30</v>
      </c>
      <c r="AO322" t="s">
        <v>81</v>
      </c>
    </row>
    <row r="323" spans="1:41" ht="60" x14ac:dyDescent="0.25">
      <c r="A323" s="2">
        <v>195021763208</v>
      </c>
      <c r="B323" t="s">
        <v>71</v>
      </c>
      <c r="C323" t="s">
        <v>72</v>
      </c>
      <c r="D323" t="s">
        <v>1013</v>
      </c>
      <c r="E323" t="s">
        <v>1014</v>
      </c>
      <c r="F323">
        <v>316210</v>
      </c>
      <c r="G323" s="35" t="s">
        <v>906</v>
      </c>
      <c r="H323" s="31" t="s">
        <v>1015</v>
      </c>
      <c r="J323" t="s">
        <v>77</v>
      </c>
      <c r="M323">
        <v>130</v>
      </c>
      <c r="P323" t="s">
        <v>78</v>
      </c>
      <c r="Q323" s="55">
        <v>127.27272727272727</v>
      </c>
      <c r="R323" s="32">
        <v>70</v>
      </c>
      <c r="S323" s="33">
        <v>0.33</v>
      </c>
      <c r="T323" s="34">
        <f t="shared" si="9"/>
        <v>104.47761194029852</v>
      </c>
      <c r="U323" s="34">
        <f t="shared" si="10"/>
        <v>105.78358208955224</v>
      </c>
      <c r="V323" t="s">
        <v>640</v>
      </c>
      <c r="W323" s="32">
        <v>15</v>
      </c>
      <c r="X323" s="32" t="s">
        <v>80</v>
      </c>
      <c r="AD323" s="1">
        <v>195021763208</v>
      </c>
      <c r="AN323">
        <v>30</v>
      </c>
      <c r="AO323" t="s">
        <v>81</v>
      </c>
    </row>
    <row r="324" spans="1:41" ht="60" x14ac:dyDescent="0.25">
      <c r="A324" s="2">
        <v>195021763345</v>
      </c>
      <c r="B324" t="s">
        <v>71</v>
      </c>
      <c r="C324" t="s">
        <v>72</v>
      </c>
      <c r="D324" t="s">
        <v>1016</v>
      </c>
      <c r="E324" t="s">
        <v>1017</v>
      </c>
      <c r="F324">
        <v>316210</v>
      </c>
      <c r="G324" s="35" t="s">
        <v>906</v>
      </c>
      <c r="H324" s="31" t="s">
        <v>1018</v>
      </c>
      <c r="J324" t="s">
        <v>77</v>
      </c>
      <c r="M324">
        <v>130</v>
      </c>
      <c r="P324" t="s">
        <v>78</v>
      </c>
      <c r="Q324" s="55">
        <v>127.27272727272727</v>
      </c>
      <c r="R324" s="32">
        <v>70</v>
      </c>
      <c r="S324" s="33">
        <v>0.33</v>
      </c>
      <c r="T324" s="34">
        <f t="shared" ref="T324:T387" si="11">R324/(1-S324)</f>
        <v>104.47761194029852</v>
      </c>
      <c r="U324" s="34">
        <f t="shared" ref="U324:U387" si="12">T324*(1+1.25%)</f>
        <v>105.78358208955224</v>
      </c>
      <c r="V324" t="s">
        <v>640</v>
      </c>
      <c r="W324" s="32">
        <v>15</v>
      </c>
      <c r="X324" s="32" t="s">
        <v>80</v>
      </c>
      <c r="AD324" s="1">
        <v>195021763345</v>
      </c>
      <c r="AN324">
        <v>30</v>
      </c>
      <c r="AO324" t="s">
        <v>81</v>
      </c>
    </row>
    <row r="325" spans="1:41" ht="60" x14ac:dyDescent="0.25">
      <c r="A325" s="2">
        <v>195021763215</v>
      </c>
      <c r="B325" t="s">
        <v>71</v>
      </c>
      <c r="C325" t="s">
        <v>72</v>
      </c>
      <c r="D325" t="s">
        <v>1019</v>
      </c>
      <c r="E325" t="s">
        <v>1020</v>
      </c>
      <c r="F325">
        <v>316210</v>
      </c>
      <c r="G325" s="35" t="s">
        <v>906</v>
      </c>
      <c r="H325" s="31" t="s">
        <v>1021</v>
      </c>
      <c r="J325" t="s">
        <v>77</v>
      </c>
      <c r="M325">
        <v>130</v>
      </c>
      <c r="P325" t="s">
        <v>78</v>
      </c>
      <c r="Q325" s="55">
        <v>127.27272727272727</v>
      </c>
      <c r="R325" s="32">
        <v>70</v>
      </c>
      <c r="S325" s="33">
        <v>0.33</v>
      </c>
      <c r="T325" s="34">
        <f t="shared" si="11"/>
        <v>104.47761194029852</v>
      </c>
      <c r="U325" s="34">
        <f t="shared" si="12"/>
        <v>105.78358208955224</v>
      </c>
      <c r="V325" t="s">
        <v>640</v>
      </c>
      <c r="W325" s="32">
        <v>15</v>
      </c>
      <c r="X325" s="32" t="s">
        <v>80</v>
      </c>
      <c r="AD325" s="1">
        <v>195021763215</v>
      </c>
      <c r="AN325">
        <v>30</v>
      </c>
      <c r="AO325" t="s">
        <v>81</v>
      </c>
    </row>
    <row r="326" spans="1:41" ht="60" x14ac:dyDescent="0.25">
      <c r="A326" s="2">
        <v>195021763352</v>
      </c>
      <c r="B326" t="s">
        <v>71</v>
      </c>
      <c r="C326" t="s">
        <v>72</v>
      </c>
      <c r="D326" t="s">
        <v>1022</v>
      </c>
      <c r="E326" t="s">
        <v>1023</v>
      </c>
      <c r="F326">
        <v>316210</v>
      </c>
      <c r="G326" s="35" t="s">
        <v>906</v>
      </c>
      <c r="H326" s="31" t="s">
        <v>1024</v>
      </c>
      <c r="J326" t="s">
        <v>77</v>
      </c>
      <c r="M326">
        <v>130</v>
      </c>
      <c r="P326" t="s">
        <v>78</v>
      </c>
      <c r="Q326" s="55">
        <v>127.27272727272727</v>
      </c>
      <c r="R326" s="32">
        <v>70</v>
      </c>
      <c r="S326" s="33">
        <v>0.33</v>
      </c>
      <c r="T326" s="34">
        <f t="shared" si="11"/>
        <v>104.47761194029852</v>
      </c>
      <c r="U326" s="34">
        <f t="shared" si="12"/>
        <v>105.78358208955224</v>
      </c>
      <c r="V326" t="s">
        <v>640</v>
      </c>
      <c r="W326" s="32">
        <v>15</v>
      </c>
      <c r="X326" s="32" t="s">
        <v>80</v>
      </c>
      <c r="AD326" s="1">
        <v>195021763352</v>
      </c>
      <c r="AN326">
        <v>30</v>
      </c>
      <c r="AO326" t="s">
        <v>81</v>
      </c>
    </row>
    <row r="327" spans="1:41" ht="60" x14ac:dyDescent="0.25">
      <c r="A327" s="2">
        <v>195021763222</v>
      </c>
      <c r="B327" t="s">
        <v>71</v>
      </c>
      <c r="C327" t="s">
        <v>72</v>
      </c>
      <c r="D327" t="s">
        <v>1025</v>
      </c>
      <c r="E327" t="s">
        <v>1026</v>
      </c>
      <c r="F327">
        <v>316210</v>
      </c>
      <c r="G327" s="35" t="s">
        <v>906</v>
      </c>
      <c r="H327" s="31" t="s">
        <v>1027</v>
      </c>
      <c r="J327" t="s">
        <v>77</v>
      </c>
      <c r="M327">
        <v>130</v>
      </c>
      <c r="P327" t="s">
        <v>78</v>
      </c>
      <c r="Q327" s="55">
        <v>127.27272727272727</v>
      </c>
      <c r="R327" s="32">
        <v>70</v>
      </c>
      <c r="S327" s="33">
        <v>0.33</v>
      </c>
      <c r="T327" s="34">
        <f t="shared" si="11"/>
        <v>104.47761194029852</v>
      </c>
      <c r="U327" s="34">
        <f t="shared" si="12"/>
        <v>105.78358208955224</v>
      </c>
      <c r="V327" t="s">
        <v>640</v>
      </c>
      <c r="W327" s="32">
        <v>15</v>
      </c>
      <c r="X327" s="32" t="s">
        <v>80</v>
      </c>
      <c r="AD327" s="1">
        <v>195021763222</v>
      </c>
      <c r="AN327">
        <v>30</v>
      </c>
      <c r="AO327" t="s">
        <v>81</v>
      </c>
    </row>
    <row r="328" spans="1:41" ht="60" x14ac:dyDescent="0.25">
      <c r="A328" s="2">
        <v>195021763369</v>
      </c>
      <c r="B328" t="s">
        <v>71</v>
      </c>
      <c r="C328" t="s">
        <v>72</v>
      </c>
      <c r="D328" t="s">
        <v>1028</v>
      </c>
      <c r="E328" t="s">
        <v>1029</v>
      </c>
      <c r="F328">
        <v>316210</v>
      </c>
      <c r="G328" s="35" t="s">
        <v>906</v>
      </c>
      <c r="H328" s="31" t="s">
        <v>1030</v>
      </c>
      <c r="J328" t="s">
        <v>77</v>
      </c>
      <c r="M328">
        <v>130</v>
      </c>
      <c r="P328" t="s">
        <v>78</v>
      </c>
      <c r="Q328" s="55">
        <v>127.27272727272727</v>
      </c>
      <c r="R328" s="32">
        <v>70</v>
      </c>
      <c r="S328" s="33">
        <v>0.33</v>
      </c>
      <c r="T328" s="34">
        <f t="shared" si="11"/>
        <v>104.47761194029852</v>
      </c>
      <c r="U328" s="34">
        <f t="shared" si="12"/>
        <v>105.78358208955224</v>
      </c>
      <c r="V328" t="s">
        <v>640</v>
      </c>
      <c r="W328" s="32">
        <v>15</v>
      </c>
      <c r="X328" s="32" t="s">
        <v>80</v>
      </c>
      <c r="AD328" s="1">
        <v>195021763369</v>
      </c>
      <c r="AN328">
        <v>30</v>
      </c>
      <c r="AO328" t="s">
        <v>81</v>
      </c>
    </row>
    <row r="329" spans="1:41" ht="60" x14ac:dyDescent="0.25">
      <c r="A329" s="2">
        <v>195021763239</v>
      </c>
      <c r="B329" t="s">
        <v>71</v>
      </c>
      <c r="C329" t="s">
        <v>72</v>
      </c>
      <c r="D329" t="s">
        <v>1031</v>
      </c>
      <c r="E329" t="s">
        <v>1032</v>
      </c>
      <c r="F329">
        <v>316210</v>
      </c>
      <c r="G329" s="35" t="s">
        <v>906</v>
      </c>
      <c r="H329" s="31" t="s">
        <v>1033</v>
      </c>
      <c r="J329" t="s">
        <v>77</v>
      </c>
      <c r="M329">
        <v>130</v>
      </c>
      <c r="P329" t="s">
        <v>78</v>
      </c>
      <c r="Q329" s="55">
        <v>127.27272727272727</v>
      </c>
      <c r="R329" s="32">
        <v>70</v>
      </c>
      <c r="S329" s="33">
        <v>0.33</v>
      </c>
      <c r="T329" s="34">
        <f t="shared" si="11"/>
        <v>104.47761194029852</v>
      </c>
      <c r="U329" s="34">
        <f t="shared" si="12"/>
        <v>105.78358208955224</v>
      </c>
      <c r="V329" t="s">
        <v>640</v>
      </c>
      <c r="W329" s="32">
        <v>15</v>
      </c>
      <c r="X329" s="32" t="s">
        <v>80</v>
      </c>
      <c r="AD329" s="1">
        <v>195021763239</v>
      </c>
      <c r="AN329">
        <v>30</v>
      </c>
      <c r="AO329" t="s">
        <v>81</v>
      </c>
    </row>
    <row r="330" spans="1:41" ht="60" x14ac:dyDescent="0.25">
      <c r="A330" s="2">
        <v>195021763376</v>
      </c>
      <c r="B330" t="s">
        <v>71</v>
      </c>
      <c r="C330" t="s">
        <v>72</v>
      </c>
      <c r="D330" t="s">
        <v>1034</v>
      </c>
      <c r="E330" t="s">
        <v>1035</v>
      </c>
      <c r="F330">
        <v>316210</v>
      </c>
      <c r="G330" s="35" t="s">
        <v>906</v>
      </c>
      <c r="H330" s="31" t="s">
        <v>1036</v>
      </c>
      <c r="J330" t="s">
        <v>77</v>
      </c>
      <c r="M330">
        <v>130</v>
      </c>
      <c r="P330" t="s">
        <v>78</v>
      </c>
      <c r="Q330" s="55">
        <v>127.27272727272727</v>
      </c>
      <c r="R330" s="32">
        <v>70</v>
      </c>
      <c r="S330" s="33">
        <v>0.33</v>
      </c>
      <c r="T330" s="34">
        <f t="shared" si="11"/>
        <v>104.47761194029852</v>
      </c>
      <c r="U330" s="34">
        <f t="shared" si="12"/>
        <v>105.78358208955224</v>
      </c>
      <c r="V330" t="s">
        <v>640</v>
      </c>
      <c r="W330" s="32">
        <v>15</v>
      </c>
      <c r="X330" s="32" t="s">
        <v>80</v>
      </c>
      <c r="AD330" s="1">
        <v>195021763376</v>
      </c>
      <c r="AN330">
        <v>30</v>
      </c>
      <c r="AO330" t="s">
        <v>81</v>
      </c>
    </row>
    <row r="331" spans="1:41" ht="60" x14ac:dyDescent="0.25">
      <c r="A331" s="2">
        <v>195021763246</v>
      </c>
      <c r="B331" t="s">
        <v>71</v>
      </c>
      <c r="C331" t="s">
        <v>72</v>
      </c>
      <c r="D331" t="s">
        <v>1037</v>
      </c>
      <c r="E331" t="s">
        <v>1038</v>
      </c>
      <c r="F331">
        <v>316210</v>
      </c>
      <c r="G331" s="35" t="s">
        <v>906</v>
      </c>
      <c r="H331" s="31" t="s">
        <v>1039</v>
      </c>
      <c r="J331" t="s">
        <v>77</v>
      </c>
      <c r="M331">
        <v>130</v>
      </c>
      <c r="P331" t="s">
        <v>78</v>
      </c>
      <c r="Q331" s="55">
        <v>127.27272727272727</v>
      </c>
      <c r="R331" s="32">
        <v>70</v>
      </c>
      <c r="S331" s="33">
        <v>0.33</v>
      </c>
      <c r="T331" s="34">
        <f t="shared" si="11"/>
        <v>104.47761194029852</v>
      </c>
      <c r="U331" s="34">
        <f t="shared" si="12"/>
        <v>105.78358208955224</v>
      </c>
      <c r="V331" t="s">
        <v>640</v>
      </c>
      <c r="W331" s="32">
        <v>15</v>
      </c>
      <c r="X331" s="32" t="s">
        <v>80</v>
      </c>
      <c r="AD331" s="1">
        <v>195021763246</v>
      </c>
      <c r="AN331">
        <v>30</v>
      </c>
      <c r="AO331" t="s">
        <v>81</v>
      </c>
    </row>
    <row r="332" spans="1:41" ht="60" x14ac:dyDescent="0.25">
      <c r="A332" s="2">
        <v>195021763383</v>
      </c>
      <c r="B332" t="s">
        <v>71</v>
      </c>
      <c r="C332" t="s">
        <v>72</v>
      </c>
      <c r="D332" t="s">
        <v>1040</v>
      </c>
      <c r="E332" t="s">
        <v>1041</v>
      </c>
      <c r="F332">
        <v>316210</v>
      </c>
      <c r="G332" s="35" t="s">
        <v>906</v>
      </c>
      <c r="H332" s="31" t="s">
        <v>1042</v>
      </c>
      <c r="J332" t="s">
        <v>77</v>
      </c>
      <c r="M332">
        <v>130</v>
      </c>
      <c r="P332" t="s">
        <v>78</v>
      </c>
      <c r="Q332" s="55">
        <v>127.27272727272727</v>
      </c>
      <c r="R332" s="32">
        <v>70</v>
      </c>
      <c r="S332" s="33">
        <v>0.33</v>
      </c>
      <c r="T332" s="34">
        <f t="shared" si="11"/>
        <v>104.47761194029852</v>
      </c>
      <c r="U332" s="34">
        <f t="shared" si="12"/>
        <v>105.78358208955224</v>
      </c>
      <c r="V332" t="s">
        <v>640</v>
      </c>
      <c r="W332" s="32">
        <v>15</v>
      </c>
      <c r="X332" s="32" t="s">
        <v>80</v>
      </c>
      <c r="AD332" s="1">
        <v>195021763383</v>
      </c>
      <c r="AN332">
        <v>30</v>
      </c>
      <c r="AO332" t="s">
        <v>81</v>
      </c>
    </row>
    <row r="333" spans="1:41" ht="60" x14ac:dyDescent="0.25">
      <c r="A333" s="2">
        <v>195021763253</v>
      </c>
      <c r="B333" t="s">
        <v>71</v>
      </c>
      <c r="C333" t="s">
        <v>72</v>
      </c>
      <c r="D333" t="s">
        <v>1043</v>
      </c>
      <c r="E333" t="s">
        <v>1044</v>
      </c>
      <c r="F333">
        <v>316210</v>
      </c>
      <c r="G333" s="35" t="s">
        <v>906</v>
      </c>
      <c r="H333" s="31" t="s">
        <v>1045</v>
      </c>
      <c r="J333" t="s">
        <v>77</v>
      </c>
      <c r="M333">
        <v>130</v>
      </c>
      <c r="P333" t="s">
        <v>78</v>
      </c>
      <c r="Q333" s="55">
        <v>127.27272727272727</v>
      </c>
      <c r="R333" s="32">
        <v>70</v>
      </c>
      <c r="S333" s="33">
        <v>0.33</v>
      </c>
      <c r="T333" s="34">
        <f t="shared" si="11"/>
        <v>104.47761194029852</v>
      </c>
      <c r="U333" s="34">
        <f t="shared" si="12"/>
        <v>105.78358208955224</v>
      </c>
      <c r="V333" t="s">
        <v>640</v>
      </c>
      <c r="W333" s="32">
        <v>15</v>
      </c>
      <c r="X333" s="32" t="s">
        <v>80</v>
      </c>
      <c r="AD333" s="1">
        <v>195021763253</v>
      </c>
      <c r="AN333">
        <v>30</v>
      </c>
      <c r="AO333" t="s">
        <v>81</v>
      </c>
    </row>
    <row r="334" spans="1:41" ht="60" x14ac:dyDescent="0.25">
      <c r="A334" s="2">
        <v>195021763390</v>
      </c>
      <c r="B334" t="s">
        <v>71</v>
      </c>
      <c r="C334" t="s">
        <v>72</v>
      </c>
      <c r="D334" t="s">
        <v>1046</v>
      </c>
      <c r="E334" t="s">
        <v>1047</v>
      </c>
      <c r="F334">
        <v>316210</v>
      </c>
      <c r="G334" s="35" t="s">
        <v>906</v>
      </c>
      <c r="H334" s="31" t="s">
        <v>1048</v>
      </c>
      <c r="J334" t="s">
        <v>77</v>
      </c>
      <c r="M334">
        <v>130</v>
      </c>
      <c r="P334" t="s">
        <v>78</v>
      </c>
      <c r="Q334" s="55">
        <v>127.27272727272727</v>
      </c>
      <c r="R334" s="32">
        <v>70</v>
      </c>
      <c r="S334" s="33">
        <v>0.33</v>
      </c>
      <c r="T334" s="34">
        <f t="shared" si="11"/>
        <v>104.47761194029852</v>
      </c>
      <c r="U334" s="34">
        <f t="shared" si="12"/>
        <v>105.78358208955224</v>
      </c>
      <c r="V334" t="s">
        <v>640</v>
      </c>
      <c r="W334" s="32">
        <v>15</v>
      </c>
      <c r="X334" s="32" t="s">
        <v>80</v>
      </c>
      <c r="AD334" s="1">
        <v>195021763390</v>
      </c>
      <c r="AN334">
        <v>30</v>
      </c>
      <c r="AO334" t="s">
        <v>81</v>
      </c>
    </row>
    <row r="335" spans="1:41" ht="60" x14ac:dyDescent="0.25">
      <c r="A335" s="2">
        <v>195021763260</v>
      </c>
      <c r="B335" t="s">
        <v>71</v>
      </c>
      <c r="C335" t="s">
        <v>72</v>
      </c>
      <c r="D335" t="s">
        <v>1049</v>
      </c>
      <c r="E335" t="s">
        <v>1050</v>
      </c>
      <c r="F335">
        <v>316210</v>
      </c>
      <c r="G335" s="35" t="s">
        <v>906</v>
      </c>
      <c r="H335" s="31" t="s">
        <v>1051</v>
      </c>
      <c r="J335" t="s">
        <v>77</v>
      </c>
      <c r="M335">
        <v>130</v>
      </c>
      <c r="P335" t="s">
        <v>78</v>
      </c>
      <c r="Q335" s="55">
        <v>127.27272727272727</v>
      </c>
      <c r="R335" s="32">
        <v>70</v>
      </c>
      <c r="S335" s="33">
        <v>0.33</v>
      </c>
      <c r="T335" s="34">
        <f t="shared" si="11"/>
        <v>104.47761194029852</v>
      </c>
      <c r="U335" s="34">
        <f t="shared" si="12"/>
        <v>105.78358208955224</v>
      </c>
      <c r="V335" t="s">
        <v>640</v>
      </c>
      <c r="W335" s="32">
        <v>15</v>
      </c>
      <c r="X335" s="32" t="s">
        <v>80</v>
      </c>
      <c r="AD335" s="1">
        <v>195021763260</v>
      </c>
      <c r="AN335">
        <v>30</v>
      </c>
      <c r="AO335" t="s">
        <v>81</v>
      </c>
    </row>
    <row r="336" spans="1:41" ht="60" x14ac:dyDescent="0.25">
      <c r="A336" s="2">
        <v>195021763406</v>
      </c>
      <c r="B336" t="s">
        <v>71</v>
      </c>
      <c r="C336" t="s">
        <v>72</v>
      </c>
      <c r="D336" t="s">
        <v>1052</v>
      </c>
      <c r="E336" t="s">
        <v>1053</v>
      </c>
      <c r="F336">
        <v>316210</v>
      </c>
      <c r="G336" s="35" t="s">
        <v>906</v>
      </c>
      <c r="H336" s="31" t="s">
        <v>1054</v>
      </c>
      <c r="J336" t="s">
        <v>77</v>
      </c>
      <c r="M336">
        <v>130</v>
      </c>
      <c r="P336" t="s">
        <v>78</v>
      </c>
      <c r="Q336" s="55">
        <v>127.27272727272727</v>
      </c>
      <c r="R336" s="32">
        <v>70</v>
      </c>
      <c r="S336" s="33">
        <v>0.33</v>
      </c>
      <c r="T336" s="34">
        <f t="shared" si="11"/>
        <v>104.47761194029852</v>
      </c>
      <c r="U336" s="34">
        <f t="shared" si="12"/>
        <v>105.78358208955224</v>
      </c>
      <c r="V336" t="s">
        <v>640</v>
      </c>
      <c r="W336" s="32">
        <v>15</v>
      </c>
      <c r="X336" s="32" t="s">
        <v>80</v>
      </c>
      <c r="AD336" s="1">
        <v>195021763406</v>
      </c>
      <c r="AN336">
        <v>30</v>
      </c>
      <c r="AO336" t="s">
        <v>81</v>
      </c>
    </row>
    <row r="337" spans="1:41" ht="60" x14ac:dyDescent="0.25">
      <c r="A337" s="2">
        <v>195021763277</v>
      </c>
      <c r="B337" t="s">
        <v>71</v>
      </c>
      <c r="C337" t="s">
        <v>72</v>
      </c>
      <c r="D337" t="s">
        <v>1055</v>
      </c>
      <c r="E337" t="s">
        <v>1056</v>
      </c>
      <c r="F337">
        <v>316210</v>
      </c>
      <c r="G337" s="35" t="s">
        <v>906</v>
      </c>
      <c r="H337" s="31" t="s">
        <v>1057</v>
      </c>
      <c r="J337" t="s">
        <v>77</v>
      </c>
      <c r="M337">
        <v>130</v>
      </c>
      <c r="P337" t="s">
        <v>78</v>
      </c>
      <c r="Q337" s="55">
        <v>127.27272727272727</v>
      </c>
      <c r="R337" s="32">
        <v>70</v>
      </c>
      <c r="S337" s="33">
        <v>0.33</v>
      </c>
      <c r="T337" s="34">
        <f t="shared" si="11"/>
        <v>104.47761194029852</v>
      </c>
      <c r="U337" s="34">
        <f t="shared" si="12"/>
        <v>105.78358208955224</v>
      </c>
      <c r="V337" t="s">
        <v>640</v>
      </c>
      <c r="W337" s="32">
        <v>15</v>
      </c>
      <c r="X337" s="32" t="s">
        <v>80</v>
      </c>
      <c r="AD337" s="1">
        <v>195021763277</v>
      </c>
      <c r="AN337">
        <v>30</v>
      </c>
      <c r="AO337" t="s">
        <v>81</v>
      </c>
    </row>
    <row r="338" spans="1:41" ht="60" x14ac:dyDescent="0.25">
      <c r="A338" s="2">
        <v>195021763413</v>
      </c>
      <c r="B338" t="s">
        <v>71</v>
      </c>
      <c r="C338" t="s">
        <v>72</v>
      </c>
      <c r="D338" t="s">
        <v>1058</v>
      </c>
      <c r="E338" t="s">
        <v>1059</v>
      </c>
      <c r="F338">
        <v>316210</v>
      </c>
      <c r="G338" s="35" t="s">
        <v>906</v>
      </c>
      <c r="H338" s="31" t="s">
        <v>1060</v>
      </c>
      <c r="J338" t="s">
        <v>77</v>
      </c>
      <c r="M338">
        <v>130</v>
      </c>
      <c r="P338" t="s">
        <v>78</v>
      </c>
      <c r="Q338" s="55">
        <v>127.27272727272727</v>
      </c>
      <c r="R338" s="32">
        <v>70</v>
      </c>
      <c r="S338" s="33">
        <v>0.33</v>
      </c>
      <c r="T338" s="34">
        <f t="shared" si="11"/>
        <v>104.47761194029852</v>
      </c>
      <c r="U338" s="34">
        <f t="shared" si="12"/>
        <v>105.78358208955224</v>
      </c>
      <c r="V338" t="s">
        <v>640</v>
      </c>
      <c r="W338" s="32">
        <v>15</v>
      </c>
      <c r="X338" s="32" t="s">
        <v>80</v>
      </c>
      <c r="AD338" s="1">
        <v>195021763413</v>
      </c>
      <c r="AN338">
        <v>30</v>
      </c>
      <c r="AO338" t="s">
        <v>81</v>
      </c>
    </row>
    <row r="339" spans="1:41" ht="60" x14ac:dyDescent="0.25">
      <c r="A339" s="2">
        <v>195021763284</v>
      </c>
      <c r="B339" t="s">
        <v>71</v>
      </c>
      <c r="C339" t="s">
        <v>72</v>
      </c>
      <c r="D339" t="s">
        <v>1061</v>
      </c>
      <c r="E339" t="s">
        <v>1062</v>
      </c>
      <c r="F339">
        <v>316210</v>
      </c>
      <c r="G339" s="35" t="s">
        <v>906</v>
      </c>
      <c r="H339" s="31" t="s">
        <v>1063</v>
      </c>
      <c r="J339" t="s">
        <v>77</v>
      </c>
      <c r="M339">
        <v>130</v>
      </c>
      <c r="P339" t="s">
        <v>78</v>
      </c>
      <c r="Q339" s="55">
        <v>127.27272727272727</v>
      </c>
      <c r="R339" s="32">
        <v>70</v>
      </c>
      <c r="S339" s="33">
        <v>0.33</v>
      </c>
      <c r="T339" s="34">
        <f t="shared" si="11"/>
        <v>104.47761194029852</v>
      </c>
      <c r="U339" s="34">
        <f t="shared" si="12"/>
        <v>105.78358208955224</v>
      </c>
      <c r="V339" t="s">
        <v>640</v>
      </c>
      <c r="W339" s="32">
        <v>15</v>
      </c>
      <c r="X339" s="32" t="s">
        <v>80</v>
      </c>
      <c r="AD339" s="1">
        <v>195021763284</v>
      </c>
      <c r="AN339">
        <v>30</v>
      </c>
      <c r="AO339" t="s">
        <v>81</v>
      </c>
    </row>
    <row r="340" spans="1:41" ht="75" x14ac:dyDescent="0.25">
      <c r="A340" s="2">
        <v>18469755492</v>
      </c>
      <c r="B340" t="s">
        <v>71</v>
      </c>
      <c r="C340" t="s">
        <v>72</v>
      </c>
      <c r="D340" t="s">
        <v>1064</v>
      </c>
      <c r="E340" t="s">
        <v>1065</v>
      </c>
      <c r="F340">
        <v>316210</v>
      </c>
      <c r="G340" s="35" t="s">
        <v>1066</v>
      </c>
      <c r="H340" s="31" t="s">
        <v>1067</v>
      </c>
      <c r="J340" t="s">
        <v>77</v>
      </c>
      <c r="M340">
        <v>185</v>
      </c>
      <c r="P340" t="s">
        <v>78</v>
      </c>
      <c r="Q340" s="55">
        <v>167.27272727272725</v>
      </c>
      <c r="R340" s="32">
        <v>92</v>
      </c>
      <c r="S340" s="33">
        <v>0.33</v>
      </c>
      <c r="T340" s="34">
        <f t="shared" si="11"/>
        <v>137.31343283582092</v>
      </c>
      <c r="U340" s="34">
        <f t="shared" si="12"/>
        <v>139.02985074626866</v>
      </c>
      <c r="V340" t="s">
        <v>79</v>
      </c>
      <c r="W340" s="32">
        <v>15</v>
      </c>
      <c r="X340" s="32" t="s">
        <v>80</v>
      </c>
      <c r="AD340" s="1">
        <v>18469755492</v>
      </c>
      <c r="AN340">
        <v>30</v>
      </c>
      <c r="AO340" t="s">
        <v>81</v>
      </c>
    </row>
    <row r="341" spans="1:41" ht="75" x14ac:dyDescent="0.25">
      <c r="A341" s="2">
        <v>18469755508</v>
      </c>
      <c r="B341" t="s">
        <v>71</v>
      </c>
      <c r="C341" t="s">
        <v>72</v>
      </c>
      <c r="D341" t="s">
        <v>1068</v>
      </c>
      <c r="E341" t="s">
        <v>1069</v>
      </c>
      <c r="F341">
        <v>316210</v>
      </c>
      <c r="G341" s="35" t="s">
        <v>1066</v>
      </c>
      <c r="H341" s="31" t="s">
        <v>1070</v>
      </c>
      <c r="J341" t="s">
        <v>77</v>
      </c>
      <c r="M341">
        <v>185</v>
      </c>
      <c r="P341" t="s">
        <v>78</v>
      </c>
      <c r="Q341" s="55">
        <v>167.27272727272725</v>
      </c>
      <c r="R341" s="32">
        <v>92</v>
      </c>
      <c r="S341" s="33">
        <v>0.33</v>
      </c>
      <c r="T341" s="34">
        <f t="shared" si="11"/>
        <v>137.31343283582092</v>
      </c>
      <c r="U341" s="34">
        <f t="shared" si="12"/>
        <v>139.02985074626866</v>
      </c>
      <c r="V341" t="s">
        <v>79</v>
      </c>
      <c r="W341" s="32">
        <v>15</v>
      </c>
      <c r="X341" s="32" t="s">
        <v>80</v>
      </c>
      <c r="AD341" s="1">
        <v>18469755508</v>
      </c>
      <c r="AN341">
        <v>30</v>
      </c>
      <c r="AO341" t="s">
        <v>81</v>
      </c>
    </row>
    <row r="342" spans="1:41" ht="75" x14ac:dyDescent="0.25">
      <c r="A342" s="2">
        <v>18469755621</v>
      </c>
      <c r="B342" t="s">
        <v>71</v>
      </c>
      <c r="C342" t="s">
        <v>72</v>
      </c>
      <c r="D342" t="s">
        <v>1071</v>
      </c>
      <c r="E342" t="s">
        <v>1072</v>
      </c>
      <c r="F342">
        <v>316210</v>
      </c>
      <c r="G342" s="35" t="s">
        <v>1066</v>
      </c>
      <c r="H342" s="31" t="s">
        <v>1073</v>
      </c>
      <c r="J342" t="s">
        <v>77</v>
      </c>
      <c r="M342">
        <v>185</v>
      </c>
      <c r="P342" t="s">
        <v>78</v>
      </c>
      <c r="Q342" s="55">
        <v>167.27272727272725</v>
      </c>
      <c r="R342" s="32">
        <v>92</v>
      </c>
      <c r="S342" s="33">
        <v>0.33</v>
      </c>
      <c r="T342" s="34">
        <f t="shared" si="11"/>
        <v>137.31343283582092</v>
      </c>
      <c r="U342" s="34">
        <f t="shared" si="12"/>
        <v>139.02985074626866</v>
      </c>
      <c r="V342" t="s">
        <v>79</v>
      </c>
      <c r="W342" s="32">
        <v>15</v>
      </c>
      <c r="X342" s="32" t="s">
        <v>80</v>
      </c>
      <c r="AD342" s="1">
        <v>18469755621</v>
      </c>
      <c r="AN342">
        <v>30</v>
      </c>
      <c r="AO342" t="s">
        <v>81</v>
      </c>
    </row>
    <row r="343" spans="1:41" ht="75" x14ac:dyDescent="0.25">
      <c r="A343" s="2">
        <v>18469755638</v>
      </c>
      <c r="B343" t="s">
        <v>71</v>
      </c>
      <c r="C343" t="s">
        <v>72</v>
      </c>
      <c r="D343" t="s">
        <v>1074</v>
      </c>
      <c r="E343" t="s">
        <v>1075</v>
      </c>
      <c r="F343">
        <v>316210</v>
      </c>
      <c r="G343" s="35" t="s">
        <v>1066</v>
      </c>
      <c r="H343" s="31" t="s">
        <v>1076</v>
      </c>
      <c r="J343" t="s">
        <v>77</v>
      </c>
      <c r="M343">
        <v>185</v>
      </c>
      <c r="P343" t="s">
        <v>78</v>
      </c>
      <c r="Q343" s="55">
        <v>167.27272727272725</v>
      </c>
      <c r="R343" s="32">
        <v>92</v>
      </c>
      <c r="S343" s="33">
        <v>0.33</v>
      </c>
      <c r="T343" s="34">
        <f t="shared" si="11"/>
        <v>137.31343283582092</v>
      </c>
      <c r="U343" s="34">
        <f t="shared" si="12"/>
        <v>139.02985074626866</v>
      </c>
      <c r="V343" t="s">
        <v>79</v>
      </c>
      <c r="W343" s="32">
        <v>15</v>
      </c>
      <c r="X343" s="32" t="s">
        <v>80</v>
      </c>
      <c r="AD343" s="1">
        <v>18469755638</v>
      </c>
      <c r="AN343">
        <v>30</v>
      </c>
      <c r="AO343" t="s">
        <v>81</v>
      </c>
    </row>
    <row r="344" spans="1:41" ht="75" x14ac:dyDescent="0.25">
      <c r="A344" s="2">
        <v>18464229264</v>
      </c>
      <c r="B344" t="s">
        <v>71</v>
      </c>
      <c r="C344" t="s">
        <v>72</v>
      </c>
      <c r="D344" t="s">
        <v>1077</v>
      </c>
      <c r="E344" t="s">
        <v>1078</v>
      </c>
      <c r="F344">
        <v>316210</v>
      </c>
      <c r="G344" s="35" t="s">
        <v>1066</v>
      </c>
      <c r="H344" s="31" t="s">
        <v>1079</v>
      </c>
      <c r="J344" t="s">
        <v>77</v>
      </c>
      <c r="M344">
        <v>185</v>
      </c>
      <c r="P344" t="s">
        <v>78</v>
      </c>
      <c r="Q344" s="55">
        <v>167.27272727272725</v>
      </c>
      <c r="R344" s="32">
        <v>92</v>
      </c>
      <c r="S344" s="33">
        <v>0.33</v>
      </c>
      <c r="T344" s="34">
        <f t="shared" si="11"/>
        <v>137.31343283582092</v>
      </c>
      <c r="U344" s="34">
        <f t="shared" si="12"/>
        <v>139.02985074626866</v>
      </c>
      <c r="V344" t="s">
        <v>79</v>
      </c>
      <c r="W344" s="32">
        <v>15</v>
      </c>
      <c r="X344" s="32" t="s">
        <v>80</v>
      </c>
      <c r="AD344" s="1">
        <v>18464229264</v>
      </c>
      <c r="AN344">
        <v>30</v>
      </c>
      <c r="AO344" t="s">
        <v>81</v>
      </c>
    </row>
    <row r="345" spans="1:41" ht="75" x14ac:dyDescent="0.25">
      <c r="A345" s="2">
        <v>18464235166</v>
      </c>
      <c r="B345" t="s">
        <v>71</v>
      </c>
      <c r="C345" t="s">
        <v>72</v>
      </c>
      <c r="D345" t="s">
        <v>1080</v>
      </c>
      <c r="E345" t="s">
        <v>1081</v>
      </c>
      <c r="F345">
        <v>316210</v>
      </c>
      <c r="G345" s="35" t="s">
        <v>1066</v>
      </c>
      <c r="H345" s="31" t="s">
        <v>1082</v>
      </c>
      <c r="J345" t="s">
        <v>77</v>
      </c>
      <c r="M345">
        <v>185</v>
      </c>
      <c r="P345" t="s">
        <v>78</v>
      </c>
      <c r="Q345" s="55">
        <v>167.27272727272725</v>
      </c>
      <c r="R345" s="32">
        <v>92</v>
      </c>
      <c r="S345" s="33">
        <v>0.33</v>
      </c>
      <c r="T345" s="34">
        <f t="shared" si="11"/>
        <v>137.31343283582092</v>
      </c>
      <c r="U345" s="34">
        <f t="shared" si="12"/>
        <v>139.02985074626866</v>
      </c>
      <c r="V345" t="s">
        <v>79</v>
      </c>
      <c r="W345" s="32">
        <v>15</v>
      </c>
      <c r="X345" s="32" t="s">
        <v>80</v>
      </c>
      <c r="AD345" s="1">
        <v>18464235166</v>
      </c>
      <c r="AN345">
        <v>30</v>
      </c>
      <c r="AO345" t="s">
        <v>81</v>
      </c>
    </row>
    <row r="346" spans="1:41" ht="75" x14ac:dyDescent="0.25">
      <c r="A346" s="2">
        <v>18464229271</v>
      </c>
      <c r="B346" t="s">
        <v>71</v>
      </c>
      <c r="C346" t="s">
        <v>72</v>
      </c>
      <c r="D346" t="s">
        <v>1083</v>
      </c>
      <c r="E346" t="s">
        <v>1084</v>
      </c>
      <c r="F346">
        <v>316210</v>
      </c>
      <c r="G346" s="35" t="s">
        <v>1066</v>
      </c>
      <c r="H346" s="31" t="s">
        <v>1085</v>
      </c>
      <c r="J346" t="s">
        <v>77</v>
      </c>
      <c r="M346">
        <v>185</v>
      </c>
      <c r="P346" t="s">
        <v>78</v>
      </c>
      <c r="Q346" s="55">
        <v>167.27272727272725</v>
      </c>
      <c r="R346" s="32">
        <v>92</v>
      </c>
      <c r="S346" s="33">
        <v>0.33</v>
      </c>
      <c r="T346" s="34">
        <f t="shared" si="11"/>
        <v>137.31343283582092</v>
      </c>
      <c r="U346" s="34">
        <f t="shared" si="12"/>
        <v>139.02985074626866</v>
      </c>
      <c r="V346" t="s">
        <v>79</v>
      </c>
      <c r="W346" s="32">
        <v>15</v>
      </c>
      <c r="X346" s="32" t="s">
        <v>80</v>
      </c>
      <c r="AD346" s="1">
        <v>18464229271</v>
      </c>
      <c r="AN346">
        <v>30</v>
      </c>
      <c r="AO346" t="s">
        <v>81</v>
      </c>
    </row>
    <row r="347" spans="1:41" ht="75" x14ac:dyDescent="0.25">
      <c r="A347" s="2">
        <v>18464235173</v>
      </c>
      <c r="B347" t="s">
        <v>71</v>
      </c>
      <c r="C347" t="s">
        <v>72</v>
      </c>
      <c r="D347" t="s">
        <v>1086</v>
      </c>
      <c r="E347" t="s">
        <v>1087</v>
      </c>
      <c r="F347">
        <v>316210</v>
      </c>
      <c r="G347" s="35" t="s">
        <v>1066</v>
      </c>
      <c r="H347" s="31" t="s">
        <v>1088</v>
      </c>
      <c r="J347" t="s">
        <v>77</v>
      </c>
      <c r="M347">
        <v>185</v>
      </c>
      <c r="P347" t="s">
        <v>78</v>
      </c>
      <c r="Q347" s="55">
        <v>167.27272727272725</v>
      </c>
      <c r="R347" s="32">
        <v>92</v>
      </c>
      <c r="S347" s="33">
        <v>0.33</v>
      </c>
      <c r="T347" s="34">
        <f t="shared" si="11"/>
        <v>137.31343283582092</v>
      </c>
      <c r="U347" s="34">
        <f t="shared" si="12"/>
        <v>139.02985074626866</v>
      </c>
      <c r="V347" t="s">
        <v>79</v>
      </c>
      <c r="W347" s="32">
        <v>15</v>
      </c>
      <c r="X347" s="32" t="s">
        <v>80</v>
      </c>
      <c r="AD347" s="1">
        <v>18464235173</v>
      </c>
      <c r="AN347">
        <v>30</v>
      </c>
      <c r="AO347" t="s">
        <v>81</v>
      </c>
    </row>
    <row r="348" spans="1:41" ht="75" x14ac:dyDescent="0.25">
      <c r="A348" s="2">
        <v>18464229288</v>
      </c>
      <c r="B348" t="s">
        <v>71</v>
      </c>
      <c r="C348" t="s">
        <v>72</v>
      </c>
      <c r="D348" t="s">
        <v>1089</v>
      </c>
      <c r="E348" t="s">
        <v>1090</v>
      </c>
      <c r="F348">
        <v>316210</v>
      </c>
      <c r="G348" s="35" t="s">
        <v>1066</v>
      </c>
      <c r="H348" s="31" t="s">
        <v>1091</v>
      </c>
      <c r="J348" t="s">
        <v>77</v>
      </c>
      <c r="M348">
        <v>185</v>
      </c>
      <c r="P348" t="s">
        <v>78</v>
      </c>
      <c r="Q348" s="55">
        <v>167.27272727272725</v>
      </c>
      <c r="R348" s="32">
        <v>92</v>
      </c>
      <c r="S348" s="33">
        <v>0.33</v>
      </c>
      <c r="T348" s="34">
        <f t="shared" si="11"/>
        <v>137.31343283582092</v>
      </c>
      <c r="U348" s="34">
        <f t="shared" si="12"/>
        <v>139.02985074626866</v>
      </c>
      <c r="V348" t="s">
        <v>79</v>
      </c>
      <c r="W348" s="32">
        <v>15</v>
      </c>
      <c r="X348" s="32" t="s">
        <v>80</v>
      </c>
      <c r="AD348" s="1">
        <v>18464229288</v>
      </c>
      <c r="AN348">
        <v>30</v>
      </c>
      <c r="AO348" t="s">
        <v>81</v>
      </c>
    </row>
    <row r="349" spans="1:41" ht="75" x14ac:dyDescent="0.25">
      <c r="A349" s="2">
        <v>18464235180</v>
      </c>
      <c r="B349" t="s">
        <v>71</v>
      </c>
      <c r="C349" t="s">
        <v>72</v>
      </c>
      <c r="D349" t="s">
        <v>1092</v>
      </c>
      <c r="E349" t="s">
        <v>1093</v>
      </c>
      <c r="F349">
        <v>316210</v>
      </c>
      <c r="G349" s="35" t="s">
        <v>1066</v>
      </c>
      <c r="H349" s="31" t="s">
        <v>1094</v>
      </c>
      <c r="J349" t="s">
        <v>77</v>
      </c>
      <c r="M349">
        <v>185</v>
      </c>
      <c r="P349" t="s">
        <v>78</v>
      </c>
      <c r="Q349" s="55">
        <v>167.27272727272725</v>
      </c>
      <c r="R349" s="32">
        <v>92</v>
      </c>
      <c r="S349" s="33">
        <v>0.33</v>
      </c>
      <c r="T349" s="34">
        <f t="shared" si="11"/>
        <v>137.31343283582092</v>
      </c>
      <c r="U349" s="34">
        <f t="shared" si="12"/>
        <v>139.02985074626866</v>
      </c>
      <c r="V349" t="s">
        <v>79</v>
      </c>
      <c r="W349" s="32">
        <v>15</v>
      </c>
      <c r="X349" s="32" t="s">
        <v>80</v>
      </c>
      <c r="AD349" s="1">
        <v>18464235180</v>
      </c>
      <c r="AN349">
        <v>30</v>
      </c>
      <c r="AO349" t="s">
        <v>81</v>
      </c>
    </row>
    <row r="350" spans="1:41" ht="75" x14ac:dyDescent="0.25">
      <c r="A350" s="2">
        <v>18464229295</v>
      </c>
      <c r="B350" t="s">
        <v>71</v>
      </c>
      <c r="C350" t="s">
        <v>72</v>
      </c>
      <c r="D350" t="s">
        <v>1095</v>
      </c>
      <c r="E350" t="s">
        <v>1096</v>
      </c>
      <c r="F350">
        <v>316210</v>
      </c>
      <c r="G350" s="35" t="s">
        <v>1066</v>
      </c>
      <c r="H350" s="31" t="s">
        <v>1097</v>
      </c>
      <c r="J350" t="s">
        <v>77</v>
      </c>
      <c r="M350">
        <v>185</v>
      </c>
      <c r="P350" t="s">
        <v>78</v>
      </c>
      <c r="Q350" s="55">
        <v>167.27272727272725</v>
      </c>
      <c r="R350" s="32">
        <v>92</v>
      </c>
      <c r="S350" s="33">
        <v>0.33</v>
      </c>
      <c r="T350" s="34">
        <f t="shared" si="11"/>
        <v>137.31343283582092</v>
      </c>
      <c r="U350" s="34">
        <f t="shared" si="12"/>
        <v>139.02985074626866</v>
      </c>
      <c r="V350" t="s">
        <v>79</v>
      </c>
      <c r="W350" s="32">
        <v>15</v>
      </c>
      <c r="X350" s="32" t="s">
        <v>80</v>
      </c>
      <c r="AD350" s="1">
        <v>18464229295</v>
      </c>
      <c r="AN350">
        <v>30</v>
      </c>
      <c r="AO350" t="s">
        <v>81</v>
      </c>
    </row>
    <row r="351" spans="1:41" ht="75" x14ac:dyDescent="0.25">
      <c r="A351" s="2">
        <v>18464235197</v>
      </c>
      <c r="B351" t="s">
        <v>71</v>
      </c>
      <c r="C351" t="s">
        <v>72</v>
      </c>
      <c r="D351" t="s">
        <v>1098</v>
      </c>
      <c r="E351" t="s">
        <v>1099</v>
      </c>
      <c r="F351">
        <v>316210</v>
      </c>
      <c r="G351" s="35" t="s">
        <v>1066</v>
      </c>
      <c r="H351" s="31" t="s">
        <v>1100</v>
      </c>
      <c r="J351" t="s">
        <v>77</v>
      </c>
      <c r="M351">
        <v>185</v>
      </c>
      <c r="P351" t="s">
        <v>78</v>
      </c>
      <c r="Q351" s="55">
        <v>167.27272727272725</v>
      </c>
      <c r="R351" s="32">
        <v>92</v>
      </c>
      <c r="S351" s="33">
        <v>0.33</v>
      </c>
      <c r="T351" s="34">
        <f t="shared" si="11"/>
        <v>137.31343283582092</v>
      </c>
      <c r="U351" s="34">
        <f t="shared" si="12"/>
        <v>139.02985074626866</v>
      </c>
      <c r="V351" t="s">
        <v>79</v>
      </c>
      <c r="W351" s="32">
        <v>15</v>
      </c>
      <c r="X351" s="32" t="s">
        <v>80</v>
      </c>
      <c r="AD351" s="1">
        <v>18464235197</v>
      </c>
      <c r="AN351">
        <v>30</v>
      </c>
      <c r="AO351" t="s">
        <v>81</v>
      </c>
    </row>
    <row r="352" spans="1:41" ht="75" x14ac:dyDescent="0.25">
      <c r="A352" s="2">
        <v>18464229301</v>
      </c>
      <c r="B352" t="s">
        <v>71</v>
      </c>
      <c r="C352" t="s">
        <v>72</v>
      </c>
      <c r="D352" t="s">
        <v>1101</v>
      </c>
      <c r="E352" t="s">
        <v>1102</v>
      </c>
      <c r="F352">
        <v>316210</v>
      </c>
      <c r="G352" s="35" t="s">
        <v>1066</v>
      </c>
      <c r="H352" s="31" t="s">
        <v>1103</v>
      </c>
      <c r="J352" t="s">
        <v>77</v>
      </c>
      <c r="M352">
        <v>185</v>
      </c>
      <c r="P352" t="s">
        <v>78</v>
      </c>
      <c r="Q352" s="55">
        <v>167.27272727272725</v>
      </c>
      <c r="R352" s="32">
        <v>92</v>
      </c>
      <c r="S352" s="33">
        <v>0.33</v>
      </c>
      <c r="T352" s="34">
        <f t="shared" si="11"/>
        <v>137.31343283582092</v>
      </c>
      <c r="U352" s="34">
        <f t="shared" si="12"/>
        <v>139.02985074626866</v>
      </c>
      <c r="V352" t="s">
        <v>79</v>
      </c>
      <c r="W352" s="32">
        <v>15</v>
      </c>
      <c r="X352" s="32" t="s">
        <v>80</v>
      </c>
      <c r="AD352" s="1">
        <v>18464229301</v>
      </c>
      <c r="AN352">
        <v>30</v>
      </c>
      <c r="AO352" t="s">
        <v>81</v>
      </c>
    </row>
    <row r="353" spans="1:41" ht="75" x14ac:dyDescent="0.25">
      <c r="A353" s="2">
        <v>18464235203</v>
      </c>
      <c r="B353" t="s">
        <v>71</v>
      </c>
      <c r="C353" t="s">
        <v>72</v>
      </c>
      <c r="D353" t="s">
        <v>1104</v>
      </c>
      <c r="E353" t="s">
        <v>1105</v>
      </c>
      <c r="F353">
        <v>316210</v>
      </c>
      <c r="G353" s="35" t="s">
        <v>1066</v>
      </c>
      <c r="H353" s="31" t="s">
        <v>1106</v>
      </c>
      <c r="J353" t="s">
        <v>77</v>
      </c>
      <c r="M353">
        <v>185</v>
      </c>
      <c r="P353" t="s">
        <v>78</v>
      </c>
      <c r="Q353" s="55">
        <v>167.27272727272725</v>
      </c>
      <c r="R353" s="32">
        <v>92</v>
      </c>
      <c r="S353" s="33">
        <v>0.33</v>
      </c>
      <c r="T353" s="34">
        <f t="shared" si="11"/>
        <v>137.31343283582092</v>
      </c>
      <c r="U353" s="34">
        <f t="shared" si="12"/>
        <v>139.02985074626866</v>
      </c>
      <c r="V353" t="s">
        <v>79</v>
      </c>
      <c r="W353" s="32">
        <v>15</v>
      </c>
      <c r="X353" s="32" t="s">
        <v>80</v>
      </c>
      <c r="AD353" s="1">
        <v>18464235203</v>
      </c>
      <c r="AN353">
        <v>30</v>
      </c>
      <c r="AO353" t="s">
        <v>81</v>
      </c>
    </row>
    <row r="354" spans="1:41" ht="75" x14ac:dyDescent="0.25">
      <c r="A354" s="2">
        <v>18464229318</v>
      </c>
      <c r="B354" t="s">
        <v>71</v>
      </c>
      <c r="C354" t="s">
        <v>72</v>
      </c>
      <c r="D354" t="s">
        <v>1107</v>
      </c>
      <c r="E354" t="s">
        <v>1108</v>
      </c>
      <c r="F354">
        <v>316210</v>
      </c>
      <c r="G354" s="35" t="s">
        <v>1066</v>
      </c>
      <c r="H354" s="31" t="s">
        <v>1109</v>
      </c>
      <c r="J354" t="s">
        <v>77</v>
      </c>
      <c r="M354">
        <v>185</v>
      </c>
      <c r="P354" t="s">
        <v>78</v>
      </c>
      <c r="Q354" s="55">
        <v>167.27272727272725</v>
      </c>
      <c r="R354" s="32">
        <v>92</v>
      </c>
      <c r="S354" s="33">
        <v>0.33</v>
      </c>
      <c r="T354" s="34">
        <f t="shared" si="11"/>
        <v>137.31343283582092</v>
      </c>
      <c r="U354" s="34">
        <f t="shared" si="12"/>
        <v>139.02985074626866</v>
      </c>
      <c r="V354" t="s">
        <v>79</v>
      </c>
      <c r="W354" s="32">
        <v>15</v>
      </c>
      <c r="X354" s="32" t="s">
        <v>80</v>
      </c>
      <c r="AD354" s="1">
        <v>18464229318</v>
      </c>
      <c r="AN354">
        <v>30</v>
      </c>
      <c r="AO354" t="s">
        <v>81</v>
      </c>
    </row>
    <row r="355" spans="1:41" ht="75" x14ac:dyDescent="0.25">
      <c r="A355" s="2">
        <v>18464235210</v>
      </c>
      <c r="B355" t="s">
        <v>71</v>
      </c>
      <c r="C355" t="s">
        <v>72</v>
      </c>
      <c r="D355" t="s">
        <v>1110</v>
      </c>
      <c r="E355" t="s">
        <v>1111</v>
      </c>
      <c r="F355">
        <v>316210</v>
      </c>
      <c r="G355" s="35" t="s">
        <v>1066</v>
      </c>
      <c r="H355" s="31" t="s">
        <v>1112</v>
      </c>
      <c r="J355" t="s">
        <v>77</v>
      </c>
      <c r="M355">
        <v>185</v>
      </c>
      <c r="P355" t="s">
        <v>78</v>
      </c>
      <c r="Q355" s="55">
        <v>167.27272727272725</v>
      </c>
      <c r="R355" s="32">
        <v>92</v>
      </c>
      <c r="S355" s="33">
        <v>0.33</v>
      </c>
      <c r="T355" s="34">
        <f t="shared" si="11"/>
        <v>137.31343283582092</v>
      </c>
      <c r="U355" s="34">
        <f t="shared" si="12"/>
        <v>139.02985074626866</v>
      </c>
      <c r="V355" t="s">
        <v>79</v>
      </c>
      <c r="W355" s="32">
        <v>15</v>
      </c>
      <c r="X355" s="32" t="s">
        <v>80</v>
      </c>
      <c r="AD355" s="1">
        <v>18464235210</v>
      </c>
      <c r="AN355">
        <v>30</v>
      </c>
      <c r="AO355" t="s">
        <v>81</v>
      </c>
    </row>
    <row r="356" spans="1:41" ht="75" x14ac:dyDescent="0.25">
      <c r="A356" s="2">
        <v>18464229325</v>
      </c>
      <c r="B356" t="s">
        <v>71</v>
      </c>
      <c r="C356" t="s">
        <v>72</v>
      </c>
      <c r="D356" t="s">
        <v>1113</v>
      </c>
      <c r="E356" t="s">
        <v>1114</v>
      </c>
      <c r="F356">
        <v>316210</v>
      </c>
      <c r="G356" s="35" t="s">
        <v>1066</v>
      </c>
      <c r="H356" s="31" t="s">
        <v>1115</v>
      </c>
      <c r="J356" t="s">
        <v>77</v>
      </c>
      <c r="M356">
        <v>185</v>
      </c>
      <c r="P356" t="s">
        <v>78</v>
      </c>
      <c r="Q356" s="55">
        <v>167.27272727272725</v>
      </c>
      <c r="R356" s="32">
        <v>92</v>
      </c>
      <c r="S356" s="33">
        <v>0.33</v>
      </c>
      <c r="T356" s="34">
        <f t="shared" si="11"/>
        <v>137.31343283582092</v>
      </c>
      <c r="U356" s="34">
        <f t="shared" si="12"/>
        <v>139.02985074626866</v>
      </c>
      <c r="V356" t="s">
        <v>79</v>
      </c>
      <c r="W356" s="32">
        <v>15</v>
      </c>
      <c r="X356" s="32" t="s">
        <v>80</v>
      </c>
      <c r="AD356" s="1">
        <v>18464229325</v>
      </c>
      <c r="AN356">
        <v>30</v>
      </c>
      <c r="AO356" t="s">
        <v>81</v>
      </c>
    </row>
    <row r="357" spans="1:41" ht="75" x14ac:dyDescent="0.25">
      <c r="A357" s="2">
        <v>18464235227</v>
      </c>
      <c r="B357" t="s">
        <v>71</v>
      </c>
      <c r="C357" t="s">
        <v>72</v>
      </c>
      <c r="D357" t="s">
        <v>1116</v>
      </c>
      <c r="E357" t="s">
        <v>1117</v>
      </c>
      <c r="F357">
        <v>316210</v>
      </c>
      <c r="G357" s="35" t="s">
        <v>1066</v>
      </c>
      <c r="H357" s="31" t="s">
        <v>1118</v>
      </c>
      <c r="J357" t="s">
        <v>77</v>
      </c>
      <c r="M357">
        <v>185</v>
      </c>
      <c r="P357" t="s">
        <v>78</v>
      </c>
      <c r="Q357" s="55">
        <v>167.27272727272725</v>
      </c>
      <c r="R357" s="32">
        <v>92</v>
      </c>
      <c r="S357" s="33">
        <v>0.33</v>
      </c>
      <c r="T357" s="34">
        <f t="shared" si="11"/>
        <v>137.31343283582092</v>
      </c>
      <c r="U357" s="34">
        <f t="shared" si="12"/>
        <v>139.02985074626866</v>
      </c>
      <c r="V357" t="s">
        <v>79</v>
      </c>
      <c r="W357" s="32">
        <v>15</v>
      </c>
      <c r="X357" s="32" t="s">
        <v>80</v>
      </c>
      <c r="AD357" s="1">
        <v>18464235227</v>
      </c>
      <c r="AN357">
        <v>30</v>
      </c>
      <c r="AO357" t="s">
        <v>81</v>
      </c>
    </row>
    <row r="358" spans="1:41" ht="75" x14ac:dyDescent="0.25">
      <c r="A358" s="2">
        <v>18464229332</v>
      </c>
      <c r="B358" t="s">
        <v>71</v>
      </c>
      <c r="C358" t="s">
        <v>72</v>
      </c>
      <c r="D358" t="s">
        <v>1119</v>
      </c>
      <c r="E358" t="s">
        <v>1120</v>
      </c>
      <c r="F358">
        <v>316210</v>
      </c>
      <c r="G358" s="35" t="s">
        <v>1066</v>
      </c>
      <c r="H358" s="31" t="s">
        <v>1121</v>
      </c>
      <c r="J358" t="s">
        <v>77</v>
      </c>
      <c r="M358">
        <v>185</v>
      </c>
      <c r="P358" t="s">
        <v>78</v>
      </c>
      <c r="Q358" s="55">
        <v>167.27272727272725</v>
      </c>
      <c r="R358" s="32">
        <v>92</v>
      </c>
      <c r="S358" s="33">
        <v>0.33</v>
      </c>
      <c r="T358" s="34">
        <f t="shared" si="11"/>
        <v>137.31343283582092</v>
      </c>
      <c r="U358" s="34">
        <f t="shared" si="12"/>
        <v>139.02985074626866</v>
      </c>
      <c r="V358" t="s">
        <v>79</v>
      </c>
      <c r="W358" s="32">
        <v>15</v>
      </c>
      <c r="X358" s="32" t="s">
        <v>80</v>
      </c>
      <c r="AD358" s="1">
        <v>18464229332</v>
      </c>
      <c r="AN358">
        <v>30</v>
      </c>
      <c r="AO358" t="s">
        <v>81</v>
      </c>
    </row>
    <row r="359" spans="1:41" ht="75" x14ac:dyDescent="0.25">
      <c r="A359" s="2">
        <v>18464235234</v>
      </c>
      <c r="B359" t="s">
        <v>71</v>
      </c>
      <c r="C359" t="s">
        <v>72</v>
      </c>
      <c r="D359" t="s">
        <v>1122</v>
      </c>
      <c r="E359" t="s">
        <v>1123</v>
      </c>
      <c r="F359">
        <v>316210</v>
      </c>
      <c r="G359" s="35" t="s">
        <v>1066</v>
      </c>
      <c r="H359" s="31" t="s">
        <v>1124</v>
      </c>
      <c r="J359" t="s">
        <v>77</v>
      </c>
      <c r="M359">
        <v>185</v>
      </c>
      <c r="P359" t="s">
        <v>78</v>
      </c>
      <c r="Q359" s="55">
        <v>167.27272727272725</v>
      </c>
      <c r="R359" s="32">
        <v>92</v>
      </c>
      <c r="S359" s="33">
        <v>0.33</v>
      </c>
      <c r="T359" s="34">
        <f t="shared" si="11"/>
        <v>137.31343283582092</v>
      </c>
      <c r="U359" s="34">
        <f t="shared" si="12"/>
        <v>139.02985074626866</v>
      </c>
      <c r="V359" t="s">
        <v>79</v>
      </c>
      <c r="W359" s="32">
        <v>15</v>
      </c>
      <c r="X359" s="32" t="s">
        <v>80</v>
      </c>
      <c r="AD359" s="1">
        <v>18464235234</v>
      </c>
      <c r="AN359">
        <v>30</v>
      </c>
      <c r="AO359" t="s">
        <v>81</v>
      </c>
    </row>
    <row r="360" spans="1:41" ht="75" x14ac:dyDescent="0.25">
      <c r="A360" s="2">
        <v>18464229349</v>
      </c>
      <c r="B360" t="s">
        <v>71</v>
      </c>
      <c r="C360" t="s">
        <v>72</v>
      </c>
      <c r="D360" t="s">
        <v>1125</v>
      </c>
      <c r="E360" t="s">
        <v>1126</v>
      </c>
      <c r="F360">
        <v>316210</v>
      </c>
      <c r="G360" s="35" t="s">
        <v>1066</v>
      </c>
      <c r="H360" s="31" t="s">
        <v>1127</v>
      </c>
      <c r="J360" t="s">
        <v>77</v>
      </c>
      <c r="M360">
        <v>185</v>
      </c>
      <c r="P360" t="s">
        <v>78</v>
      </c>
      <c r="Q360" s="55">
        <v>167.27272727272725</v>
      </c>
      <c r="R360" s="32">
        <v>92</v>
      </c>
      <c r="S360" s="33">
        <v>0.33</v>
      </c>
      <c r="T360" s="34">
        <f t="shared" si="11"/>
        <v>137.31343283582092</v>
      </c>
      <c r="U360" s="34">
        <f t="shared" si="12"/>
        <v>139.02985074626866</v>
      </c>
      <c r="V360" t="s">
        <v>79</v>
      </c>
      <c r="W360" s="32">
        <v>15</v>
      </c>
      <c r="X360" s="32" t="s">
        <v>80</v>
      </c>
      <c r="AD360" s="1">
        <v>18464229349</v>
      </c>
      <c r="AN360">
        <v>30</v>
      </c>
      <c r="AO360" t="s">
        <v>81</v>
      </c>
    </row>
    <row r="361" spans="1:41" ht="75" x14ac:dyDescent="0.25">
      <c r="A361" s="2">
        <v>18464235241</v>
      </c>
      <c r="B361" t="s">
        <v>71</v>
      </c>
      <c r="C361" t="s">
        <v>72</v>
      </c>
      <c r="D361" t="s">
        <v>1128</v>
      </c>
      <c r="E361" t="s">
        <v>1129</v>
      </c>
      <c r="F361">
        <v>316210</v>
      </c>
      <c r="G361" s="35" t="s">
        <v>1066</v>
      </c>
      <c r="H361" s="31" t="s">
        <v>1130</v>
      </c>
      <c r="J361" t="s">
        <v>77</v>
      </c>
      <c r="M361">
        <v>185</v>
      </c>
      <c r="P361" t="s">
        <v>78</v>
      </c>
      <c r="Q361" s="55">
        <v>167.27272727272725</v>
      </c>
      <c r="R361" s="32">
        <v>92</v>
      </c>
      <c r="S361" s="33">
        <v>0.33</v>
      </c>
      <c r="T361" s="34">
        <f t="shared" si="11"/>
        <v>137.31343283582092</v>
      </c>
      <c r="U361" s="34">
        <f t="shared" si="12"/>
        <v>139.02985074626866</v>
      </c>
      <c r="V361" t="s">
        <v>79</v>
      </c>
      <c r="W361" s="32">
        <v>15</v>
      </c>
      <c r="X361" s="32" t="s">
        <v>80</v>
      </c>
      <c r="AD361" s="1">
        <v>18464235241</v>
      </c>
      <c r="AN361">
        <v>30</v>
      </c>
      <c r="AO361" t="s">
        <v>81</v>
      </c>
    </row>
    <row r="362" spans="1:41" ht="75" x14ac:dyDescent="0.25">
      <c r="A362" s="2">
        <v>18464229356</v>
      </c>
      <c r="B362" t="s">
        <v>71</v>
      </c>
      <c r="C362" t="s">
        <v>72</v>
      </c>
      <c r="D362" t="s">
        <v>1131</v>
      </c>
      <c r="E362" t="s">
        <v>1132</v>
      </c>
      <c r="F362">
        <v>316210</v>
      </c>
      <c r="G362" s="35" t="s">
        <v>1066</v>
      </c>
      <c r="H362" s="31" t="s">
        <v>1133</v>
      </c>
      <c r="J362" t="s">
        <v>77</v>
      </c>
      <c r="M362">
        <v>185</v>
      </c>
      <c r="P362" t="s">
        <v>78</v>
      </c>
      <c r="Q362" s="55">
        <v>167.27272727272725</v>
      </c>
      <c r="R362" s="32">
        <v>92</v>
      </c>
      <c r="S362" s="33">
        <v>0.33</v>
      </c>
      <c r="T362" s="34">
        <f t="shared" si="11"/>
        <v>137.31343283582092</v>
      </c>
      <c r="U362" s="34">
        <f t="shared" si="12"/>
        <v>139.02985074626866</v>
      </c>
      <c r="V362" t="s">
        <v>79</v>
      </c>
      <c r="W362" s="32">
        <v>15</v>
      </c>
      <c r="X362" s="32" t="s">
        <v>80</v>
      </c>
      <c r="AD362" s="1">
        <v>18464229356</v>
      </c>
      <c r="AN362">
        <v>30</v>
      </c>
      <c r="AO362" t="s">
        <v>81</v>
      </c>
    </row>
    <row r="363" spans="1:41" ht="75" x14ac:dyDescent="0.25">
      <c r="A363" s="2">
        <v>18464235258</v>
      </c>
      <c r="B363" t="s">
        <v>71</v>
      </c>
      <c r="C363" t="s">
        <v>72</v>
      </c>
      <c r="D363" t="s">
        <v>1134</v>
      </c>
      <c r="E363" t="s">
        <v>1135</v>
      </c>
      <c r="F363">
        <v>316210</v>
      </c>
      <c r="G363" s="35" t="s">
        <v>1066</v>
      </c>
      <c r="H363" s="31" t="s">
        <v>1136</v>
      </c>
      <c r="J363" t="s">
        <v>77</v>
      </c>
      <c r="M363">
        <v>185</v>
      </c>
      <c r="P363" t="s">
        <v>78</v>
      </c>
      <c r="Q363" s="55">
        <v>167.27272727272725</v>
      </c>
      <c r="R363" s="32">
        <v>92</v>
      </c>
      <c r="S363" s="33">
        <v>0.33</v>
      </c>
      <c r="T363" s="34">
        <f t="shared" si="11"/>
        <v>137.31343283582092</v>
      </c>
      <c r="U363" s="34">
        <f t="shared" si="12"/>
        <v>139.02985074626866</v>
      </c>
      <c r="V363" t="s">
        <v>79</v>
      </c>
      <c r="W363" s="32">
        <v>15</v>
      </c>
      <c r="X363" s="32" t="s">
        <v>80</v>
      </c>
      <c r="AD363" s="1">
        <v>18464235258</v>
      </c>
      <c r="AN363">
        <v>30</v>
      </c>
      <c r="AO363" t="s">
        <v>81</v>
      </c>
    </row>
    <row r="364" spans="1:41" ht="75" x14ac:dyDescent="0.25">
      <c r="A364" s="2">
        <v>18464229363</v>
      </c>
      <c r="B364" t="s">
        <v>71</v>
      </c>
      <c r="C364" t="s">
        <v>72</v>
      </c>
      <c r="D364" t="s">
        <v>1137</v>
      </c>
      <c r="E364" t="s">
        <v>1138</v>
      </c>
      <c r="F364">
        <v>316210</v>
      </c>
      <c r="G364" s="35" t="s">
        <v>1066</v>
      </c>
      <c r="H364" s="31" t="s">
        <v>1139</v>
      </c>
      <c r="J364" t="s">
        <v>77</v>
      </c>
      <c r="M364">
        <v>185</v>
      </c>
      <c r="P364" t="s">
        <v>78</v>
      </c>
      <c r="Q364" s="55">
        <v>167.27272727272725</v>
      </c>
      <c r="R364" s="32">
        <v>92</v>
      </c>
      <c r="S364" s="33">
        <v>0.33</v>
      </c>
      <c r="T364" s="34">
        <f t="shared" si="11"/>
        <v>137.31343283582092</v>
      </c>
      <c r="U364" s="34">
        <f t="shared" si="12"/>
        <v>139.02985074626866</v>
      </c>
      <c r="V364" t="s">
        <v>79</v>
      </c>
      <c r="W364" s="32">
        <v>15</v>
      </c>
      <c r="X364" s="32" t="s">
        <v>80</v>
      </c>
      <c r="AD364" s="1">
        <v>18464229363</v>
      </c>
      <c r="AN364">
        <v>30</v>
      </c>
      <c r="AO364" t="s">
        <v>81</v>
      </c>
    </row>
    <row r="365" spans="1:41" ht="75" x14ac:dyDescent="0.25">
      <c r="A365" s="2">
        <v>18464235265</v>
      </c>
      <c r="B365" t="s">
        <v>71</v>
      </c>
      <c r="C365" t="s">
        <v>72</v>
      </c>
      <c r="D365" t="s">
        <v>1140</v>
      </c>
      <c r="E365" t="s">
        <v>1141</v>
      </c>
      <c r="F365">
        <v>316210</v>
      </c>
      <c r="G365" s="35" t="s">
        <v>1066</v>
      </c>
      <c r="H365" s="31" t="s">
        <v>1142</v>
      </c>
      <c r="J365" t="s">
        <v>77</v>
      </c>
      <c r="M365">
        <v>185</v>
      </c>
      <c r="P365" t="s">
        <v>78</v>
      </c>
      <c r="Q365" s="55">
        <v>167.27272727272725</v>
      </c>
      <c r="R365" s="32">
        <v>92</v>
      </c>
      <c r="S365" s="33">
        <v>0.33</v>
      </c>
      <c r="T365" s="34">
        <f t="shared" si="11"/>
        <v>137.31343283582092</v>
      </c>
      <c r="U365" s="34">
        <f t="shared" si="12"/>
        <v>139.02985074626866</v>
      </c>
      <c r="V365" t="s">
        <v>79</v>
      </c>
      <c r="W365" s="32">
        <v>15</v>
      </c>
      <c r="X365" s="32" t="s">
        <v>80</v>
      </c>
      <c r="AD365" s="1">
        <v>18464235265</v>
      </c>
      <c r="AN365">
        <v>30</v>
      </c>
      <c r="AO365" t="s">
        <v>81</v>
      </c>
    </row>
    <row r="366" spans="1:41" ht="75" x14ac:dyDescent="0.25">
      <c r="A366" s="2">
        <v>18464229370</v>
      </c>
      <c r="B366" t="s">
        <v>71</v>
      </c>
      <c r="C366" t="s">
        <v>72</v>
      </c>
      <c r="D366" t="s">
        <v>1143</v>
      </c>
      <c r="E366" t="s">
        <v>1144</v>
      </c>
      <c r="F366">
        <v>316210</v>
      </c>
      <c r="G366" s="35" t="s">
        <v>1066</v>
      </c>
      <c r="H366" s="31" t="s">
        <v>1145</v>
      </c>
      <c r="J366" t="s">
        <v>77</v>
      </c>
      <c r="M366">
        <v>185</v>
      </c>
      <c r="P366" t="s">
        <v>78</v>
      </c>
      <c r="Q366" s="55">
        <v>167.27272727272725</v>
      </c>
      <c r="R366" s="32">
        <v>92</v>
      </c>
      <c r="S366" s="33">
        <v>0.33</v>
      </c>
      <c r="T366" s="34">
        <f t="shared" si="11"/>
        <v>137.31343283582092</v>
      </c>
      <c r="U366" s="34">
        <f t="shared" si="12"/>
        <v>139.02985074626866</v>
      </c>
      <c r="V366" t="s">
        <v>79</v>
      </c>
      <c r="W366" s="32">
        <v>15</v>
      </c>
      <c r="X366" s="32" t="s">
        <v>80</v>
      </c>
      <c r="AD366" s="1">
        <v>18464229370</v>
      </c>
      <c r="AN366">
        <v>30</v>
      </c>
      <c r="AO366" t="s">
        <v>81</v>
      </c>
    </row>
    <row r="367" spans="1:41" ht="75" x14ac:dyDescent="0.25">
      <c r="A367" s="2">
        <v>18464235272</v>
      </c>
      <c r="B367" t="s">
        <v>71</v>
      </c>
      <c r="C367" t="s">
        <v>72</v>
      </c>
      <c r="D367" t="s">
        <v>1146</v>
      </c>
      <c r="E367" t="s">
        <v>1147</v>
      </c>
      <c r="F367">
        <v>316210</v>
      </c>
      <c r="G367" s="35" t="s">
        <v>1066</v>
      </c>
      <c r="H367" s="31" t="s">
        <v>1148</v>
      </c>
      <c r="J367" t="s">
        <v>77</v>
      </c>
      <c r="M367">
        <v>185</v>
      </c>
      <c r="P367" t="s">
        <v>78</v>
      </c>
      <c r="Q367" s="55">
        <v>167.27272727272725</v>
      </c>
      <c r="R367" s="32">
        <v>92</v>
      </c>
      <c r="S367" s="33">
        <v>0.33</v>
      </c>
      <c r="T367" s="34">
        <f t="shared" si="11"/>
        <v>137.31343283582092</v>
      </c>
      <c r="U367" s="34">
        <f t="shared" si="12"/>
        <v>139.02985074626866</v>
      </c>
      <c r="V367" t="s">
        <v>79</v>
      </c>
      <c r="W367" s="32">
        <v>15</v>
      </c>
      <c r="X367" s="32" t="s">
        <v>80</v>
      </c>
      <c r="AD367" s="1">
        <v>18464235272</v>
      </c>
      <c r="AN367">
        <v>30</v>
      </c>
      <c r="AO367" t="s">
        <v>81</v>
      </c>
    </row>
    <row r="368" spans="1:41" ht="75" x14ac:dyDescent="0.25">
      <c r="A368" s="2">
        <v>18464229387</v>
      </c>
      <c r="B368" t="s">
        <v>71</v>
      </c>
      <c r="C368" t="s">
        <v>72</v>
      </c>
      <c r="D368" t="s">
        <v>1149</v>
      </c>
      <c r="E368" t="s">
        <v>1150</v>
      </c>
      <c r="F368">
        <v>316210</v>
      </c>
      <c r="G368" s="35" t="s">
        <v>1066</v>
      </c>
      <c r="H368" s="31" t="s">
        <v>1151</v>
      </c>
      <c r="J368" t="s">
        <v>77</v>
      </c>
      <c r="M368">
        <v>185</v>
      </c>
      <c r="P368" t="s">
        <v>78</v>
      </c>
      <c r="Q368" s="55">
        <v>167.27272727272725</v>
      </c>
      <c r="R368" s="32">
        <v>92</v>
      </c>
      <c r="S368" s="33">
        <v>0.33</v>
      </c>
      <c r="T368" s="34">
        <f t="shared" si="11"/>
        <v>137.31343283582092</v>
      </c>
      <c r="U368" s="34">
        <f t="shared" si="12"/>
        <v>139.02985074626866</v>
      </c>
      <c r="V368" t="s">
        <v>79</v>
      </c>
      <c r="W368" s="32">
        <v>15</v>
      </c>
      <c r="X368" s="32" t="s">
        <v>80</v>
      </c>
      <c r="AD368" s="1">
        <v>18464229387</v>
      </c>
      <c r="AN368">
        <v>30</v>
      </c>
      <c r="AO368" t="s">
        <v>81</v>
      </c>
    </row>
    <row r="369" spans="1:41" ht="75" x14ac:dyDescent="0.25">
      <c r="A369" s="2">
        <v>18464235289</v>
      </c>
      <c r="B369" t="s">
        <v>71</v>
      </c>
      <c r="C369" t="s">
        <v>72</v>
      </c>
      <c r="D369" t="s">
        <v>1152</v>
      </c>
      <c r="E369" t="s">
        <v>1153</v>
      </c>
      <c r="F369">
        <v>316210</v>
      </c>
      <c r="G369" s="35" t="s">
        <v>1066</v>
      </c>
      <c r="H369" s="31" t="s">
        <v>1154</v>
      </c>
      <c r="J369" t="s">
        <v>77</v>
      </c>
      <c r="M369">
        <v>185</v>
      </c>
      <c r="P369" t="s">
        <v>78</v>
      </c>
      <c r="Q369" s="55">
        <v>167.27272727272725</v>
      </c>
      <c r="R369" s="32">
        <v>92</v>
      </c>
      <c r="S369" s="33">
        <v>0.33</v>
      </c>
      <c r="T369" s="34">
        <f t="shared" si="11"/>
        <v>137.31343283582092</v>
      </c>
      <c r="U369" s="34">
        <f t="shared" si="12"/>
        <v>139.02985074626866</v>
      </c>
      <c r="V369" t="s">
        <v>79</v>
      </c>
      <c r="W369" s="32">
        <v>15</v>
      </c>
      <c r="X369" s="32" t="s">
        <v>80</v>
      </c>
      <c r="AD369" s="1">
        <v>18464235289</v>
      </c>
      <c r="AN369">
        <v>30</v>
      </c>
      <c r="AO369" t="s">
        <v>81</v>
      </c>
    </row>
    <row r="370" spans="1:41" ht="75" x14ac:dyDescent="0.25">
      <c r="A370" s="2">
        <v>18464229394</v>
      </c>
      <c r="B370" t="s">
        <v>71</v>
      </c>
      <c r="C370" t="s">
        <v>72</v>
      </c>
      <c r="D370" t="s">
        <v>1155</v>
      </c>
      <c r="E370" t="s">
        <v>1156</v>
      </c>
      <c r="F370">
        <v>316210</v>
      </c>
      <c r="G370" s="35" t="s">
        <v>1066</v>
      </c>
      <c r="H370" s="31" t="s">
        <v>1157</v>
      </c>
      <c r="J370" t="s">
        <v>77</v>
      </c>
      <c r="M370">
        <v>185</v>
      </c>
      <c r="P370" t="s">
        <v>78</v>
      </c>
      <c r="Q370" s="55">
        <v>167.27272727272725</v>
      </c>
      <c r="R370" s="32">
        <v>92</v>
      </c>
      <c r="S370" s="33">
        <v>0.33</v>
      </c>
      <c r="T370" s="34">
        <f t="shared" si="11"/>
        <v>137.31343283582092</v>
      </c>
      <c r="U370" s="34">
        <f t="shared" si="12"/>
        <v>139.02985074626866</v>
      </c>
      <c r="V370" t="s">
        <v>79</v>
      </c>
      <c r="W370" s="32">
        <v>15</v>
      </c>
      <c r="X370" s="32" t="s">
        <v>80</v>
      </c>
      <c r="AD370" s="1">
        <v>18464229394</v>
      </c>
      <c r="AN370">
        <v>30</v>
      </c>
      <c r="AO370" t="s">
        <v>81</v>
      </c>
    </row>
    <row r="371" spans="1:41" ht="75" x14ac:dyDescent="0.25">
      <c r="A371" s="2">
        <v>44208793128</v>
      </c>
      <c r="B371" t="s">
        <v>71</v>
      </c>
      <c r="C371" t="s">
        <v>72</v>
      </c>
      <c r="D371" t="s">
        <v>1158</v>
      </c>
      <c r="E371" t="s">
        <v>1159</v>
      </c>
      <c r="F371">
        <v>316210</v>
      </c>
      <c r="G371" s="35" t="s">
        <v>1066</v>
      </c>
      <c r="H371" s="31" t="s">
        <v>1160</v>
      </c>
      <c r="J371" t="s">
        <v>77</v>
      </c>
      <c r="M371">
        <v>185</v>
      </c>
      <c r="P371" t="s">
        <v>78</v>
      </c>
      <c r="Q371" s="55">
        <v>167.27272727272725</v>
      </c>
      <c r="R371" s="32">
        <v>92</v>
      </c>
      <c r="S371" s="33">
        <v>0.33</v>
      </c>
      <c r="T371" s="34">
        <f t="shared" si="11"/>
        <v>137.31343283582092</v>
      </c>
      <c r="U371" s="34">
        <f t="shared" si="12"/>
        <v>139.02985074626866</v>
      </c>
      <c r="V371" t="s">
        <v>79</v>
      </c>
      <c r="W371" s="32">
        <v>15</v>
      </c>
      <c r="X371" s="32" t="s">
        <v>80</v>
      </c>
      <c r="AD371" s="1">
        <v>44208793128</v>
      </c>
      <c r="AN371">
        <v>30</v>
      </c>
      <c r="AO371" t="s">
        <v>81</v>
      </c>
    </row>
    <row r="372" spans="1:41" ht="90" x14ac:dyDescent="0.25">
      <c r="A372" s="2">
        <v>194917893739</v>
      </c>
      <c r="B372" t="s">
        <v>71</v>
      </c>
      <c r="C372" t="s">
        <v>72</v>
      </c>
      <c r="D372" t="s">
        <v>1161</v>
      </c>
      <c r="E372" t="s">
        <v>1162</v>
      </c>
      <c r="F372">
        <v>316210</v>
      </c>
      <c r="G372" s="35" t="s">
        <v>1163</v>
      </c>
      <c r="H372" s="31" t="s">
        <v>1164</v>
      </c>
      <c r="J372" t="s">
        <v>77</v>
      </c>
      <c r="M372">
        <v>125</v>
      </c>
      <c r="P372" t="s">
        <v>78</v>
      </c>
      <c r="Q372" s="55">
        <v>119.09090909090908</v>
      </c>
      <c r="R372" s="32">
        <v>65.5</v>
      </c>
      <c r="S372" s="33">
        <v>0.33</v>
      </c>
      <c r="T372" s="34">
        <f t="shared" si="11"/>
        <v>97.761194029850756</v>
      </c>
      <c r="U372" s="34">
        <f t="shared" si="12"/>
        <v>98.983208955223887</v>
      </c>
      <c r="V372" t="s">
        <v>79</v>
      </c>
      <c r="W372" s="32">
        <v>15</v>
      </c>
      <c r="X372" s="32" t="s">
        <v>80</v>
      </c>
      <c r="AD372" s="1">
        <v>194917893739</v>
      </c>
      <c r="AN372">
        <v>30</v>
      </c>
      <c r="AO372" t="s">
        <v>81</v>
      </c>
    </row>
    <row r="373" spans="1:41" ht="90" x14ac:dyDescent="0.25">
      <c r="A373" s="2">
        <v>194917995181</v>
      </c>
      <c r="B373" t="s">
        <v>71</v>
      </c>
      <c r="C373" t="s">
        <v>72</v>
      </c>
      <c r="D373" t="s">
        <v>1165</v>
      </c>
      <c r="E373" t="s">
        <v>1166</v>
      </c>
      <c r="F373">
        <v>316210</v>
      </c>
      <c r="G373" s="35" t="s">
        <v>1163</v>
      </c>
      <c r="H373" s="31" t="s">
        <v>1167</v>
      </c>
      <c r="J373" t="s">
        <v>77</v>
      </c>
      <c r="M373">
        <v>125</v>
      </c>
      <c r="P373" t="s">
        <v>78</v>
      </c>
      <c r="Q373" s="55">
        <v>119.09090909090908</v>
      </c>
      <c r="R373" s="32">
        <v>65.5</v>
      </c>
      <c r="S373" s="33">
        <v>0.33</v>
      </c>
      <c r="T373" s="34">
        <f t="shared" si="11"/>
        <v>97.761194029850756</v>
      </c>
      <c r="U373" s="34">
        <f t="shared" si="12"/>
        <v>98.983208955223887</v>
      </c>
      <c r="V373" t="s">
        <v>79</v>
      </c>
      <c r="W373" s="32">
        <v>15</v>
      </c>
      <c r="X373" s="32" t="s">
        <v>80</v>
      </c>
      <c r="AD373" s="1">
        <v>194917995181</v>
      </c>
      <c r="AN373">
        <v>30</v>
      </c>
      <c r="AO373" t="s">
        <v>81</v>
      </c>
    </row>
    <row r="374" spans="1:41" ht="90" x14ac:dyDescent="0.25">
      <c r="A374" s="2">
        <v>194917893746</v>
      </c>
      <c r="B374" t="s">
        <v>71</v>
      </c>
      <c r="C374" t="s">
        <v>72</v>
      </c>
      <c r="D374" t="s">
        <v>1168</v>
      </c>
      <c r="E374" t="s">
        <v>1169</v>
      </c>
      <c r="F374">
        <v>316210</v>
      </c>
      <c r="G374" s="35" t="s">
        <v>1163</v>
      </c>
      <c r="H374" s="31" t="s">
        <v>1170</v>
      </c>
      <c r="J374" t="s">
        <v>77</v>
      </c>
      <c r="M374">
        <v>125</v>
      </c>
      <c r="P374" t="s">
        <v>78</v>
      </c>
      <c r="Q374" s="55">
        <v>119.09090909090908</v>
      </c>
      <c r="R374" s="32">
        <v>65.5</v>
      </c>
      <c r="S374" s="33">
        <v>0.33</v>
      </c>
      <c r="T374" s="34">
        <f t="shared" si="11"/>
        <v>97.761194029850756</v>
      </c>
      <c r="U374" s="34">
        <f t="shared" si="12"/>
        <v>98.983208955223887</v>
      </c>
      <c r="V374" t="s">
        <v>79</v>
      </c>
      <c r="W374" s="32">
        <v>15</v>
      </c>
      <c r="X374" s="32" t="s">
        <v>80</v>
      </c>
      <c r="AD374" s="1">
        <v>194917893746</v>
      </c>
      <c r="AN374">
        <v>30</v>
      </c>
      <c r="AO374" t="s">
        <v>81</v>
      </c>
    </row>
    <row r="375" spans="1:41" ht="90" x14ac:dyDescent="0.25">
      <c r="A375" s="2">
        <v>194917995198</v>
      </c>
      <c r="B375" t="s">
        <v>71</v>
      </c>
      <c r="C375" t="s">
        <v>72</v>
      </c>
      <c r="D375" t="s">
        <v>1171</v>
      </c>
      <c r="E375" t="s">
        <v>1172</v>
      </c>
      <c r="F375">
        <v>316210</v>
      </c>
      <c r="G375" s="35" t="s">
        <v>1163</v>
      </c>
      <c r="H375" s="31" t="s">
        <v>1173</v>
      </c>
      <c r="J375" t="s">
        <v>77</v>
      </c>
      <c r="M375">
        <v>125</v>
      </c>
      <c r="P375" t="s">
        <v>78</v>
      </c>
      <c r="Q375" s="55">
        <v>119.09090909090908</v>
      </c>
      <c r="R375" s="32">
        <v>65.5</v>
      </c>
      <c r="S375" s="33">
        <v>0.33</v>
      </c>
      <c r="T375" s="34">
        <f t="shared" si="11"/>
        <v>97.761194029850756</v>
      </c>
      <c r="U375" s="34">
        <f t="shared" si="12"/>
        <v>98.983208955223887</v>
      </c>
      <c r="V375" t="s">
        <v>79</v>
      </c>
      <c r="W375" s="32">
        <v>15</v>
      </c>
      <c r="X375" s="32" t="s">
        <v>80</v>
      </c>
      <c r="AD375" s="1">
        <v>194917995198</v>
      </c>
      <c r="AN375">
        <v>30</v>
      </c>
      <c r="AO375" t="s">
        <v>81</v>
      </c>
    </row>
    <row r="376" spans="1:41" ht="90" x14ac:dyDescent="0.25">
      <c r="A376" s="2">
        <v>194917893753</v>
      </c>
      <c r="B376" t="s">
        <v>71</v>
      </c>
      <c r="C376" t="s">
        <v>72</v>
      </c>
      <c r="D376" t="s">
        <v>1174</v>
      </c>
      <c r="E376" t="s">
        <v>1175</v>
      </c>
      <c r="F376">
        <v>316210</v>
      </c>
      <c r="G376" s="35" t="s">
        <v>1163</v>
      </c>
      <c r="H376" s="31" t="s">
        <v>1176</v>
      </c>
      <c r="J376" t="s">
        <v>77</v>
      </c>
      <c r="M376">
        <v>125</v>
      </c>
      <c r="P376" t="s">
        <v>78</v>
      </c>
      <c r="Q376" s="55">
        <v>119.09090909090908</v>
      </c>
      <c r="R376" s="32">
        <v>65.5</v>
      </c>
      <c r="S376" s="33">
        <v>0.33</v>
      </c>
      <c r="T376" s="34">
        <f t="shared" si="11"/>
        <v>97.761194029850756</v>
      </c>
      <c r="U376" s="34">
        <f t="shared" si="12"/>
        <v>98.983208955223887</v>
      </c>
      <c r="V376" t="s">
        <v>79</v>
      </c>
      <c r="W376" s="32">
        <v>15</v>
      </c>
      <c r="X376" s="32" t="s">
        <v>80</v>
      </c>
      <c r="AD376" s="1">
        <v>194917893753</v>
      </c>
      <c r="AN376">
        <v>30</v>
      </c>
      <c r="AO376" t="s">
        <v>81</v>
      </c>
    </row>
    <row r="377" spans="1:41" ht="90" x14ac:dyDescent="0.25">
      <c r="A377" s="2">
        <v>194917995204</v>
      </c>
      <c r="B377" t="s">
        <v>71</v>
      </c>
      <c r="C377" t="s">
        <v>72</v>
      </c>
      <c r="D377" t="s">
        <v>1177</v>
      </c>
      <c r="E377" t="s">
        <v>1178</v>
      </c>
      <c r="F377">
        <v>316210</v>
      </c>
      <c r="G377" s="35" t="s">
        <v>1163</v>
      </c>
      <c r="H377" s="31" t="s">
        <v>1179</v>
      </c>
      <c r="J377" t="s">
        <v>77</v>
      </c>
      <c r="M377">
        <v>125</v>
      </c>
      <c r="P377" t="s">
        <v>78</v>
      </c>
      <c r="Q377" s="55">
        <v>119.09090909090908</v>
      </c>
      <c r="R377" s="32">
        <v>65.5</v>
      </c>
      <c r="S377" s="33">
        <v>0.33</v>
      </c>
      <c r="T377" s="34">
        <f t="shared" si="11"/>
        <v>97.761194029850756</v>
      </c>
      <c r="U377" s="34">
        <f t="shared" si="12"/>
        <v>98.983208955223887</v>
      </c>
      <c r="V377" t="s">
        <v>79</v>
      </c>
      <c r="W377" s="32">
        <v>15</v>
      </c>
      <c r="X377" s="32" t="s">
        <v>80</v>
      </c>
      <c r="AD377" s="1">
        <v>194917995204</v>
      </c>
      <c r="AN377">
        <v>30</v>
      </c>
      <c r="AO377" t="s">
        <v>81</v>
      </c>
    </row>
    <row r="378" spans="1:41" ht="90" x14ac:dyDescent="0.25">
      <c r="A378" s="2">
        <v>194917893760</v>
      </c>
      <c r="B378" t="s">
        <v>71</v>
      </c>
      <c r="C378" t="s">
        <v>72</v>
      </c>
      <c r="D378" t="s">
        <v>1180</v>
      </c>
      <c r="E378" t="s">
        <v>1181</v>
      </c>
      <c r="F378">
        <v>316210</v>
      </c>
      <c r="G378" s="35" t="s">
        <v>1163</v>
      </c>
      <c r="H378" s="31" t="s">
        <v>1182</v>
      </c>
      <c r="J378" t="s">
        <v>77</v>
      </c>
      <c r="M378">
        <v>125</v>
      </c>
      <c r="P378" t="s">
        <v>78</v>
      </c>
      <c r="Q378" s="55">
        <v>119.09090909090908</v>
      </c>
      <c r="R378" s="32">
        <v>65.5</v>
      </c>
      <c r="S378" s="33">
        <v>0.33</v>
      </c>
      <c r="T378" s="34">
        <f t="shared" si="11"/>
        <v>97.761194029850756</v>
      </c>
      <c r="U378" s="34">
        <f t="shared" si="12"/>
        <v>98.983208955223887</v>
      </c>
      <c r="V378" t="s">
        <v>79</v>
      </c>
      <c r="W378" s="32">
        <v>15</v>
      </c>
      <c r="X378" s="32" t="s">
        <v>80</v>
      </c>
      <c r="AD378" s="1">
        <v>194917893760</v>
      </c>
      <c r="AN378">
        <v>30</v>
      </c>
      <c r="AO378" t="s">
        <v>81</v>
      </c>
    </row>
    <row r="379" spans="1:41" ht="90" x14ac:dyDescent="0.25">
      <c r="A379" s="2">
        <v>194917995211</v>
      </c>
      <c r="B379" t="s">
        <v>71</v>
      </c>
      <c r="C379" t="s">
        <v>72</v>
      </c>
      <c r="D379" t="s">
        <v>1183</v>
      </c>
      <c r="E379" t="s">
        <v>1184</v>
      </c>
      <c r="F379">
        <v>316210</v>
      </c>
      <c r="G379" s="35" t="s">
        <v>1163</v>
      </c>
      <c r="H379" s="31" t="s">
        <v>1185</v>
      </c>
      <c r="J379" t="s">
        <v>77</v>
      </c>
      <c r="M379">
        <v>125</v>
      </c>
      <c r="P379" t="s">
        <v>78</v>
      </c>
      <c r="Q379" s="55">
        <v>119.09090909090908</v>
      </c>
      <c r="R379" s="32">
        <v>65.5</v>
      </c>
      <c r="S379" s="33">
        <v>0.33</v>
      </c>
      <c r="T379" s="34">
        <f t="shared" si="11"/>
        <v>97.761194029850756</v>
      </c>
      <c r="U379" s="34">
        <f t="shared" si="12"/>
        <v>98.983208955223887</v>
      </c>
      <c r="V379" t="s">
        <v>79</v>
      </c>
      <c r="W379" s="32">
        <v>15</v>
      </c>
      <c r="X379" s="32" t="s">
        <v>80</v>
      </c>
      <c r="AD379" s="1">
        <v>194917995211</v>
      </c>
      <c r="AN379">
        <v>30</v>
      </c>
      <c r="AO379" t="s">
        <v>81</v>
      </c>
    </row>
    <row r="380" spans="1:41" ht="90" x14ac:dyDescent="0.25">
      <c r="A380" s="2">
        <v>194917893777</v>
      </c>
      <c r="B380" t="s">
        <v>71</v>
      </c>
      <c r="C380" t="s">
        <v>72</v>
      </c>
      <c r="D380" t="s">
        <v>1186</v>
      </c>
      <c r="E380" t="s">
        <v>1187</v>
      </c>
      <c r="F380">
        <v>316210</v>
      </c>
      <c r="G380" s="35" t="s">
        <v>1163</v>
      </c>
      <c r="H380" s="31" t="s">
        <v>1188</v>
      </c>
      <c r="J380" t="s">
        <v>77</v>
      </c>
      <c r="M380">
        <v>125</v>
      </c>
      <c r="P380" t="s">
        <v>78</v>
      </c>
      <c r="Q380" s="55">
        <v>119.09090909090908</v>
      </c>
      <c r="R380" s="32">
        <v>65.5</v>
      </c>
      <c r="S380" s="33">
        <v>0.33</v>
      </c>
      <c r="T380" s="34">
        <f t="shared" si="11"/>
        <v>97.761194029850756</v>
      </c>
      <c r="U380" s="34">
        <f t="shared" si="12"/>
        <v>98.983208955223887</v>
      </c>
      <c r="V380" t="s">
        <v>79</v>
      </c>
      <c r="W380" s="32">
        <v>15</v>
      </c>
      <c r="X380" s="32" t="s">
        <v>80</v>
      </c>
      <c r="AD380" s="1">
        <v>194917893777</v>
      </c>
      <c r="AN380">
        <v>30</v>
      </c>
      <c r="AO380" t="s">
        <v>81</v>
      </c>
    </row>
    <row r="381" spans="1:41" ht="90" x14ac:dyDescent="0.25">
      <c r="A381" s="2">
        <v>194917995228</v>
      </c>
      <c r="B381" t="s">
        <v>71</v>
      </c>
      <c r="C381" t="s">
        <v>72</v>
      </c>
      <c r="D381" t="s">
        <v>1189</v>
      </c>
      <c r="E381" t="s">
        <v>1190</v>
      </c>
      <c r="F381">
        <v>316210</v>
      </c>
      <c r="G381" s="35" t="s">
        <v>1163</v>
      </c>
      <c r="H381" s="31" t="s">
        <v>1191</v>
      </c>
      <c r="J381" t="s">
        <v>77</v>
      </c>
      <c r="M381">
        <v>125</v>
      </c>
      <c r="P381" t="s">
        <v>78</v>
      </c>
      <c r="Q381" s="55">
        <v>119.09090909090908</v>
      </c>
      <c r="R381" s="32">
        <v>65.5</v>
      </c>
      <c r="S381" s="33">
        <v>0.33</v>
      </c>
      <c r="T381" s="34">
        <f t="shared" si="11"/>
        <v>97.761194029850756</v>
      </c>
      <c r="U381" s="34">
        <f t="shared" si="12"/>
        <v>98.983208955223887</v>
      </c>
      <c r="V381" t="s">
        <v>79</v>
      </c>
      <c r="W381" s="32">
        <v>15</v>
      </c>
      <c r="X381" s="32" t="s">
        <v>80</v>
      </c>
      <c r="AD381" s="1">
        <v>194917995228</v>
      </c>
      <c r="AN381">
        <v>30</v>
      </c>
      <c r="AO381" t="s">
        <v>81</v>
      </c>
    </row>
    <row r="382" spans="1:41" ht="90" x14ac:dyDescent="0.25">
      <c r="A382" s="2">
        <v>194917893784</v>
      </c>
      <c r="B382" t="s">
        <v>71</v>
      </c>
      <c r="C382" t="s">
        <v>72</v>
      </c>
      <c r="D382" t="s">
        <v>1192</v>
      </c>
      <c r="E382" t="s">
        <v>1193</v>
      </c>
      <c r="F382">
        <v>316210</v>
      </c>
      <c r="G382" s="35" t="s">
        <v>1163</v>
      </c>
      <c r="H382" s="31" t="s">
        <v>1194</v>
      </c>
      <c r="J382" t="s">
        <v>77</v>
      </c>
      <c r="M382">
        <v>125</v>
      </c>
      <c r="P382" t="s">
        <v>78</v>
      </c>
      <c r="Q382" s="55">
        <v>119.09090909090908</v>
      </c>
      <c r="R382" s="32">
        <v>65.5</v>
      </c>
      <c r="S382" s="33">
        <v>0.33</v>
      </c>
      <c r="T382" s="34">
        <f t="shared" si="11"/>
        <v>97.761194029850756</v>
      </c>
      <c r="U382" s="34">
        <f t="shared" si="12"/>
        <v>98.983208955223887</v>
      </c>
      <c r="V382" t="s">
        <v>79</v>
      </c>
      <c r="W382" s="32">
        <v>15</v>
      </c>
      <c r="X382" s="32" t="s">
        <v>80</v>
      </c>
      <c r="AD382" s="1">
        <v>194917893784</v>
      </c>
      <c r="AN382">
        <v>30</v>
      </c>
      <c r="AO382" t="s">
        <v>81</v>
      </c>
    </row>
    <row r="383" spans="1:41" ht="90" x14ac:dyDescent="0.25">
      <c r="A383" s="2">
        <v>194917995235</v>
      </c>
      <c r="B383" t="s">
        <v>71</v>
      </c>
      <c r="C383" t="s">
        <v>72</v>
      </c>
      <c r="D383" t="s">
        <v>1195</v>
      </c>
      <c r="E383" t="s">
        <v>1196</v>
      </c>
      <c r="F383">
        <v>316210</v>
      </c>
      <c r="G383" s="35" t="s">
        <v>1163</v>
      </c>
      <c r="H383" s="31" t="s">
        <v>1197</v>
      </c>
      <c r="J383" t="s">
        <v>77</v>
      </c>
      <c r="M383">
        <v>125</v>
      </c>
      <c r="P383" t="s">
        <v>78</v>
      </c>
      <c r="Q383" s="55">
        <v>119.09090909090908</v>
      </c>
      <c r="R383" s="32">
        <v>65.5</v>
      </c>
      <c r="S383" s="33">
        <v>0.33</v>
      </c>
      <c r="T383" s="34">
        <f t="shared" si="11"/>
        <v>97.761194029850756</v>
      </c>
      <c r="U383" s="34">
        <f t="shared" si="12"/>
        <v>98.983208955223887</v>
      </c>
      <c r="V383" t="s">
        <v>79</v>
      </c>
      <c r="W383" s="32">
        <v>15</v>
      </c>
      <c r="X383" s="32" t="s">
        <v>80</v>
      </c>
      <c r="AD383" s="1">
        <v>194917995235</v>
      </c>
      <c r="AN383">
        <v>30</v>
      </c>
      <c r="AO383" t="s">
        <v>81</v>
      </c>
    </row>
    <row r="384" spans="1:41" ht="90" x14ac:dyDescent="0.25">
      <c r="A384" s="2">
        <v>194917893791</v>
      </c>
      <c r="B384" t="s">
        <v>71</v>
      </c>
      <c r="C384" t="s">
        <v>72</v>
      </c>
      <c r="D384" t="s">
        <v>1198</v>
      </c>
      <c r="E384" t="s">
        <v>1199</v>
      </c>
      <c r="F384">
        <v>316210</v>
      </c>
      <c r="G384" s="35" t="s">
        <v>1163</v>
      </c>
      <c r="H384" s="31" t="s">
        <v>1200</v>
      </c>
      <c r="J384" t="s">
        <v>77</v>
      </c>
      <c r="M384">
        <v>125</v>
      </c>
      <c r="P384" t="s">
        <v>78</v>
      </c>
      <c r="Q384" s="55">
        <v>119.09090909090908</v>
      </c>
      <c r="R384" s="32">
        <v>65.5</v>
      </c>
      <c r="S384" s="33">
        <v>0.33</v>
      </c>
      <c r="T384" s="34">
        <f t="shared" si="11"/>
        <v>97.761194029850756</v>
      </c>
      <c r="U384" s="34">
        <f t="shared" si="12"/>
        <v>98.983208955223887</v>
      </c>
      <c r="V384" t="s">
        <v>79</v>
      </c>
      <c r="W384" s="32">
        <v>15</v>
      </c>
      <c r="X384" s="32" t="s">
        <v>80</v>
      </c>
      <c r="AD384" s="1">
        <v>194917893791</v>
      </c>
      <c r="AN384">
        <v>30</v>
      </c>
      <c r="AO384" t="s">
        <v>81</v>
      </c>
    </row>
    <row r="385" spans="1:41" ht="90" x14ac:dyDescent="0.25">
      <c r="A385" s="2">
        <v>194917995242</v>
      </c>
      <c r="B385" t="s">
        <v>71</v>
      </c>
      <c r="C385" t="s">
        <v>72</v>
      </c>
      <c r="D385" t="s">
        <v>1201</v>
      </c>
      <c r="E385" t="s">
        <v>1202</v>
      </c>
      <c r="F385">
        <v>316210</v>
      </c>
      <c r="G385" s="35" t="s">
        <v>1163</v>
      </c>
      <c r="H385" s="31" t="s">
        <v>1203</v>
      </c>
      <c r="J385" t="s">
        <v>77</v>
      </c>
      <c r="M385">
        <v>125</v>
      </c>
      <c r="P385" t="s">
        <v>78</v>
      </c>
      <c r="Q385" s="55">
        <v>119.09090909090908</v>
      </c>
      <c r="R385" s="32">
        <v>65.5</v>
      </c>
      <c r="S385" s="33">
        <v>0.33</v>
      </c>
      <c r="T385" s="34">
        <f t="shared" si="11"/>
        <v>97.761194029850756</v>
      </c>
      <c r="U385" s="34">
        <f t="shared" si="12"/>
        <v>98.983208955223887</v>
      </c>
      <c r="V385" t="s">
        <v>79</v>
      </c>
      <c r="W385" s="32">
        <v>15</v>
      </c>
      <c r="X385" s="32" t="s">
        <v>80</v>
      </c>
      <c r="AD385" s="1">
        <v>194917995242</v>
      </c>
      <c r="AN385">
        <v>30</v>
      </c>
      <c r="AO385" t="s">
        <v>81</v>
      </c>
    </row>
    <row r="386" spans="1:41" ht="90" x14ac:dyDescent="0.25">
      <c r="A386" s="2">
        <v>194917893807</v>
      </c>
      <c r="B386" t="s">
        <v>71</v>
      </c>
      <c r="C386" t="s">
        <v>72</v>
      </c>
      <c r="D386" t="s">
        <v>1204</v>
      </c>
      <c r="E386" t="s">
        <v>1205</v>
      </c>
      <c r="F386">
        <v>316210</v>
      </c>
      <c r="G386" s="35" t="s">
        <v>1163</v>
      </c>
      <c r="H386" s="31" t="s">
        <v>1206</v>
      </c>
      <c r="J386" t="s">
        <v>77</v>
      </c>
      <c r="M386">
        <v>125</v>
      </c>
      <c r="P386" t="s">
        <v>78</v>
      </c>
      <c r="Q386" s="55">
        <v>119.09090909090908</v>
      </c>
      <c r="R386" s="32">
        <v>65.5</v>
      </c>
      <c r="S386" s="33">
        <v>0.33</v>
      </c>
      <c r="T386" s="34">
        <f t="shared" si="11"/>
        <v>97.761194029850756</v>
      </c>
      <c r="U386" s="34">
        <f t="shared" si="12"/>
        <v>98.983208955223887</v>
      </c>
      <c r="V386" t="s">
        <v>79</v>
      </c>
      <c r="W386" s="32">
        <v>15</v>
      </c>
      <c r="X386" s="32" t="s">
        <v>80</v>
      </c>
      <c r="AD386" s="1">
        <v>194917893807</v>
      </c>
      <c r="AN386">
        <v>30</v>
      </c>
      <c r="AO386" t="s">
        <v>81</v>
      </c>
    </row>
    <row r="387" spans="1:41" ht="90" x14ac:dyDescent="0.25">
      <c r="A387" s="2">
        <v>194917995259</v>
      </c>
      <c r="B387" t="s">
        <v>71</v>
      </c>
      <c r="C387" t="s">
        <v>72</v>
      </c>
      <c r="D387" t="s">
        <v>1207</v>
      </c>
      <c r="E387" t="s">
        <v>1208</v>
      </c>
      <c r="F387">
        <v>316210</v>
      </c>
      <c r="G387" s="35" t="s">
        <v>1163</v>
      </c>
      <c r="H387" s="31" t="s">
        <v>1209</v>
      </c>
      <c r="J387" t="s">
        <v>77</v>
      </c>
      <c r="M387">
        <v>125</v>
      </c>
      <c r="P387" t="s">
        <v>78</v>
      </c>
      <c r="Q387" s="55">
        <v>119.09090909090908</v>
      </c>
      <c r="R387" s="32">
        <v>65.5</v>
      </c>
      <c r="S387" s="33">
        <v>0.33</v>
      </c>
      <c r="T387" s="34">
        <f t="shared" si="11"/>
        <v>97.761194029850756</v>
      </c>
      <c r="U387" s="34">
        <f t="shared" si="12"/>
        <v>98.983208955223887</v>
      </c>
      <c r="V387" t="s">
        <v>79</v>
      </c>
      <c r="W387" s="32">
        <v>15</v>
      </c>
      <c r="X387" s="32" t="s">
        <v>80</v>
      </c>
      <c r="AD387" s="1">
        <v>194917995259</v>
      </c>
      <c r="AN387">
        <v>30</v>
      </c>
      <c r="AO387" t="s">
        <v>81</v>
      </c>
    </row>
    <row r="388" spans="1:41" ht="90" x14ac:dyDescent="0.25">
      <c r="A388" s="2">
        <v>194917893814</v>
      </c>
      <c r="B388" t="s">
        <v>71</v>
      </c>
      <c r="C388" t="s">
        <v>72</v>
      </c>
      <c r="D388" t="s">
        <v>1210</v>
      </c>
      <c r="E388" t="s">
        <v>1211</v>
      </c>
      <c r="F388">
        <v>316210</v>
      </c>
      <c r="G388" s="35" t="s">
        <v>1163</v>
      </c>
      <c r="H388" s="31" t="s">
        <v>1212</v>
      </c>
      <c r="J388" t="s">
        <v>77</v>
      </c>
      <c r="M388">
        <v>125</v>
      </c>
      <c r="P388" t="s">
        <v>78</v>
      </c>
      <c r="Q388" s="55">
        <v>119.09090909090908</v>
      </c>
      <c r="R388" s="32">
        <v>65.5</v>
      </c>
      <c r="S388" s="33">
        <v>0.33</v>
      </c>
      <c r="T388" s="34">
        <f t="shared" ref="T388:T451" si="13">R388/(1-S388)</f>
        <v>97.761194029850756</v>
      </c>
      <c r="U388" s="34">
        <f t="shared" ref="U388:U451" si="14">T388*(1+1.25%)</f>
        <v>98.983208955223887</v>
      </c>
      <c r="V388" t="s">
        <v>79</v>
      </c>
      <c r="W388" s="32">
        <v>15</v>
      </c>
      <c r="X388" s="32" t="s">
        <v>80</v>
      </c>
      <c r="AD388" s="1">
        <v>194917893814</v>
      </c>
      <c r="AN388">
        <v>30</v>
      </c>
      <c r="AO388" t="s">
        <v>81</v>
      </c>
    </row>
    <row r="389" spans="1:41" ht="90" x14ac:dyDescent="0.25">
      <c r="A389" s="2">
        <v>194917995266</v>
      </c>
      <c r="B389" t="s">
        <v>71</v>
      </c>
      <c r="C389" t="s">
        <v>72</v>
      </c>
      <c r="D389" t="s">
        <v>1213</v>
      </c>
      <c r="E389" t="s">
        <v>1214</v>
      </c>
      <c r="F389">
        <v>316210</v>
      </c>
      <c r="G389" s="35" t="s">
        <v>1163</v>
      </c>
      <c r="H389" s="31" t="s">
        <v>1215</v>
      </c>
      <c r="J389" t="s">
        <v>77</v>
      </c>
      <c r="M389">
        <v>125</v>
      </c>
      <c r="P389" t="s">
        <v>78</v>
      </c>
      <c r="Q389" s="55">
        <v>119.09090909090908</v>
      </c>
      <c r="R389" s="32">
        <v>65.5</v>
      </c>
      <c r="S389" s="33">
        <v>0.33</v>
      </c>
      <c r="T389" s="34">
        <f t="shared" si="13"/>
        <v>97.761194029850756</v>
      </c>
      <c r="U389" s="34">
        <f t="shared" si="14"/>
        <v>98.983208955223887</v>
      </c>
      <c r="V389" t="s">
        <v>79</v>
      </c>
      <c r="W389" s="32">
        <v>15</v>
      </c>
      <c r="X389" s="32" t="s">
        <v>80</v>
      </c>
      <c r="AD389" s="1">
        <v>194917995266</v>
      </c>
      <c r="AN389">
        <v>30</v>
      </c>
      <c r="AO389" t="s">
        <v>81</v>
      </c>
    </row>
    <row r="390" spans="1:41" ht="90" x14ac:dyDescent="0.25">
      <c r="A390" s="2">
        <v>194917893821</v>
      </c>
      <c r="B390" t="s">
        <v>71</v>
      </c>
      <c r="C390" t="s">
        <v>72</v>
      </c>
      <c r="D390" t="s">
        <v>1216</v>
      </c>
      <c r="E390" t="s">
        <v>1217</v>
      </c>
      <c r="F390">
        <v>316210</v>
      </c>
      <c r="G390" s="35" t="s">
        <v>1163</v>
      </c>
      <c r="H390" s="31" t="s">
        <v>1218</v>
      </c>
      <c r="J390" t="s">
        <v>77</v>
      </c>
      <c r="M390">
        <v>125</v>
      </c>
      <c r="P390" t="s">
        <v>78</v>
      </c>
      <c r="Q390" s="55">
        <v>119.09090909090908</v>
      </c>
      <c r="R390" s="32">
        <v>65.5</v>
      </c>
      <c r="S390" s="33">
        <v>0.33</v>
      </c>
      <c r="T390" s="34">
        <f t="shared" si="13"/>
        <v>97.761194029850756</v>
      </c>
      <c r="U390" s="34">
        <f t="shared" si="14"/>
        <v>98.983208955223887</v>
      </c>
      <c r="V390" t="s">
        <v>79</v>
      </c>
      <c r="W390" s="32">
        <v>15</v>
      </c>
      <c r="X390" s="32" t="s">
        <v>80</v>
      </c>
      <c r="AD390" s="1">
        <v>194917893821</v>
      </c>
      <c r="AN390">
        <v>30</v>
      </c>
      <c r="AO390" t="s">
        <v>81</v>
      </c>
    </row>
    <row r="391" spans="1:41" ht="90" x14ac:dyDescent="0.25">
      <c r="A391" s="2">
        <v>194917995273</v>
      </c>
      <c r="B391" t="s">
        <v>71</v>
      </c>
      <c r="C391" t="s">
        <v>72</v>
      </c>
      <c r="D391" t="s">
        <v>1219</v>
      </c>
      <c r="E391" t="s">
        <v>1220</v>
      </c>
      <c r="F391">
        <v>316210</v>
      </c>
      <c r="G391" s="35" t="s">
        <v>1163</v>
      </c>
      <c r="H391" s="31" t="s">
        <v>1221</v>
      </c>
      <c r="J391" t="s">
        <v>77</v>
      </c>
      <c r="M391">
        <v>125</v>
      </c>
      <c r="P391" t="s">
        <v>78</v>
      </c>
      <c r="Q391" s="55">
        <v>119.09090909090908</v>
      </c>
      <c r="R391" s="32">
        <v>65.5</v>
      </c>
      <c r="S391" s="33">
        <v>0.33</v>
      </c>
      <c r="T391" s="34">
        <f t="shared" si="13"/>
        <v>97.761194029850756</v>
      </c>
      <c r="U391" s="34">
        <f t="shared" si="14"/>
        <v>98.983208955223887</v>
      </c>
      <c r="V391" t="s">
        <v>79</v>
      </c>
      <c r="W391" s="32">
        <v>15</v>
      </c>
      <c r="X391" s="32" t="s">
        <v>80</v>
      </c>
      <c r="AD391" s="1">
        <v>194917995273</v>
      </c>
      <c r="AN391">
        <v>30</v>
      </c>
      <c r="AO391" t="s">
        <v>81</v>
      </c>
    </row>
    <row r="392" spans="1:41" ht="90" x14ac:dyDescent="0.25">
      <c r="A392" s="2">
        <v>194917893838</v>
      </c>
      <c r="B392" t="s">
        <v>71</v>
      </c>
      <c r="C392" t="s">
        <v>72</v>
      </c>
      <c r="D392" t="s">
        <v>1222</v>
      </c>
      <c r="E392" t="s">
        <v>1223</v>
      </c>
      <c r="F392">
        <v>316210</v>
      </c>
      <c r="G392" s="35" t="s">
        <v>1163</v>
      </c>
      <c r="H392" s="31" t="s">
        <v>1224</v>
      </c>
      <c r="J392" t="s">
        <v>77</v>
      </c>
      <c r="M392">
        <v>125</v>
      </c>
      <c r="P392" t="s">
        <v>78</v>
      </c>
      <c r="Q392" s="55">
        <v>119.09090909090908</v>
      </c>
      <c r="R392" s="32">
        <v>65.5</v>
      </c>
      <c r="S392" s="33">
        <v>0.33</v>
      </c>
      <c r="T392" s="34">
        <f t="shared" si="13"/>
        <v>97.761194029850756</v>
      </c>
      <c r="U392" s="34">
        <f t="shared" si="14"/>
        <v>98.983208955223887</v>
      </c>
      <c r="V392" t="s">
        <v>79</v>
      </c>
      <c r="W392" s="32">
        <v>15</v>
      </c>
      <c r="X392" s="32" t="s">
        <v>80</v>
      </c>
      <c r="AD392" s="1">
        <v>194917893838</v>
      </c>
      <c r="AN392">
        <v>30</v>
      </c>
      <c r="AO392" t="s">
        <v>81</v>
      </c>
    </row>
    <row r="393" spans="1:41" ht="90" x14ac:dyDescent="0.25">
      <c r="A393" s="2">
        <v>194917995280</v>
      </c>
      <c r="B393" t="s">
        <v>71</v>
      </c>
      <c r="C393" t="s">
        <v>72</v>
      </c>
      <c r="D393" t="s">
        <v>1225</v>
      </c>
      <c r="E393" t="s">
        <v>1226</v>
      </c>
      <c r="F393">
        <v>316210</v>
      </c>
      <c r="G393" s="35" t="s">
        <v>1163</v>
      </c>
      <c r="H393" s="31" t="s">
        <v>1227</v>
      </c>
      <c r="J393" t="s">
        <v>77</v>
      </c>
      <c r="M393">
        <v>125</v>
      </c>
      <c r="P393" t="s">
        <v>78</v>
      </c>
      <c r="Q393" s="55">
        <v>119.09090909090908</v>
      </c>
      <c r="R393" s="32">
        <v>65.5</v>
      </c>
      <c r="S393" s="33">
        <v>0.33</v>
      </c>
      <c r="T393" s="34">
        <f t="shared" si="13"/>
        <v>97.761194029850756</v>
      </c>
      <c r="U393" s="34">
        <f t="shared" si="14"/>
        <v>98.983208955223887</v>
      </c>
      <c r="V393" t="s">
        <v>79</v>
      </c>
      <c r="W393" s="32">
        <v>15</v>
      </c>
      <c r="X393" s="32" t="s">
        <v>80</v>
      </c>
      <c r="AD393" s="1">
        <v>194917995280</v>
      </c>
      <c r="AN393">
        <v>30</v>
      </c>
      <c r="AO393" t="s">
        <v>81</v>
      </c>
    </row>
    <row r="394" spans="1:41" ht="90" x14ac:dyDescent="0.25">
      <c r="A394" s="2">
        <v>194917893845</v>
      </c>
      <c r="B394" t="s">
        <v>71</v>
      </c>
      <c r="C394" t="s">
        <v>72</v>
      </c>
      <c r="D394" t="s">
        <v>1228</v>
      </c>
      <c r="E394" t="s">
        <v>1229</v>
      </c>
      <c r="F394">
        <v>316210</v>
      </c>
      <c r="G394" s="35" t="s">
        <v>1163</v>
      </c>
      <c r="H394" s="31" t="s">
        <v>1230</v>
      </c>
      <c r="J394" t="s">
        <v>77</v>
      </c>
      <c r="M394">
        <v>125</v>
      </c>
      <c r="P394" t="s">
        <v>78</v>
      </c>
      <c r="Q394" s="55">
        <v>119.09090909090908</v>
      </c>
      <c r="R394" s="32">
        <v>65.5</v>
      </c>
      <c r="S394" s="33">
        <v>0.33</v>
      </c>
      <c r="T394" s="34">
        <f t="shared" si="13"/>
        <v>97.761194029850756</v>
      </c>
      <c r="U394" s="34">
        <f t="shared" si="14"/>
        <v>98.983208955223887</v>
      </c>
      <c r="V394" t="s">
        <v>79</v>
      </c>
      <c r="W394" s="32">
        <v>15</v>
      </c>
      <c r="X394" s="32" t="s">
        <v>80</v>
      </c>
      <c r="AD394" s="1">
        <v>194917893845</v>
      </c>
      <c r="AN394">
        <v>30</v>
      </c>
      <c r="AO394" t="s">
        <v>81</v>
      </c>
    </row>
    <row r="395" spans="1:41" ht="90" x14ac:dyDescent="0.25">
      <c r="A395" s="2">
        <v>194917995297</v>
      </c>
      <c r="B395" t="s">
        <v>71</v>
      </c>
      <c r="C395" t="s">
        <v>72</v>
      </c>
      <c r="D395" t="s">
        <v>1231</v>
      </c>
      <c r="E395" t="s">
        <v>1232</v>
      </c>
      <c r="F395">
        <v>316210</v>
      </c>
      <c r="G395" s="35" t="s">
        <v>1163</v>
      </c>
      <c r="H395" s="31" t="s">
        <v>1233</v>
      </c>
      <c r="J395" t="s">
        <v>77</v>
      </c>
      <c r="M395">
        <v>125</v>
      </c>
      <c r="P395" t="s">
        <v>78</v>
      </c>
      <c r="Q395" s="55">
        <v>119.09090909090908</v>
      </c>
      <c r="R395" s="32">
        <v>65.5</v>
      </c>
      <c r="S395" s="33">
        <v>0.33</v>
      </c>
      <c r="T395" s="34">
        <f t="shared" si="13"/>
        <v>97.761194029850756</v>
      </c>
      <c r="U395" s="34">
        <f t="shared" si="14"/>
        <v>98.983208955223887</v>
      </c>
      <c r="V395" t="s">
        <v>79</v>
      </c>
      <c r="W395" s="32">
        <v>15</v>
      </c>
      <c r="X395" s="32" t="s">
        <v>80</v>
      </c>
      <c r="AD395" s="1">
        <v>194917995297</v>
      </c>
      <c r="AN395">
        <v>30</v>
      </c>
      <c r="AO395" t="s">
        <v>81</v>
      </c>
    </row>
    <row r="396" spans="1:41" ht="90" x14ac:dyDescent="0.25">
      <c r="A396" s="2">
        <v>194917893852</v>
      </c>
      <c r="B396" t="s">
        <v>71</v>
      </c>
      <c r="C396" t="s">
        <v>72</v>
      </c>
      <c r="D396" t="s">
        <v>1234</v>
      </c>
      <c r="E396" t="s">
        <v>1235</v>
      </c>
      <c r="F396">
        <v>316210</v>
      </c>
      <c r="G396" s="35" t="s">
        <v>1163</v>
      </c>
      <c r="H396" s="31" t="s">
        <v>1236</v>
      </c>
      <c r="J396" t="s">
        <v>77</v>
      </c>
      <c r="M396">
        <v>125</v>
      </c>
      <c r="P396" t="s">
        <v>78</v>
      </c>
      <c r="Q396" s="55">
        <v>119.09090909090908</v>
      </c>
      <c r="R396" s="32">
        <v>65.5</v>
      </c>
      <c r="S396" s="33">
        <v>0.33</v>
      </c>
      <c r="T396" s="34">
        <f t="shared" si="13"/>
        <v>97.761194029850756</v>
      </c>
      <c r="U396" s="34">
        <f t="shared" si="14"/>
        <v>98.983208955223887</v>
      </c>
      <c r="V396" t="s">
        <v>79</v>
      </c>
      <c r="W396" s="32">
        <v>15</v>
      </c>
      <c r="X396" s="32" t="s">
        <v>80</v>
      </c>
      <c r="AD396" s="1">
        <v>194917893852</v>
      </c>
      <c r="AN396">
        <v>30</v>
      </c>
      <c r="AO396" t="s">
        <v>81</v>
      </c>
    </row>
    <row r="397" spans="1:41" ht="90" x14ac:dyDescent="0.25">
      <c r="A397" s="2">
        <v>194917995303</v>
      </c>
      <c r="B397" t="s">
        <v>71</v>
      </c>
      <c r="C397" t="s">
        <v>72</v>
      </c>
      <c r="D397" t="s">
        <v>1237</v>
      </c>
      <c r="E397" t="s">
        <v>1238</v>
      </c>
      <c r="F397">
        <v>316210</v>
      </c>
      <c r="G397" s="35" t="s">
        <v>1163</v>
      </c>
      <c r="H397" s="31" t="s">
        <v>1239</v>
      </c>
      <c r="J397" t="s">
        <v>77</v>
      </c>
      <c r="M397">
        <v>125</v>
      </c>
      <c r="P397" t="s">
        <v>78</v>
      </c>
      <c r="Q397" s="55">
        <v>119.09090909090908</v>
      </c>
      <c r="R397" s="32">
        <v>65.5</v>
      </c>
      <c r="S397" s="33">
        <v>0.33</v>
      </c>
      <c r="T397" s="34">
        <f t="shared" si="13"/>
        <v>97.761194029850756</v>
      </c>
      <c r="U397" s="34">
        <f t="shared" si="14"/>
        <v>98.983208955223887</v>
      </c>
      <c r="V397" t="s">
        <v>79</v>
      </c>
      <c r="W397" s="32">
        <v>15</v>
      </c>
      <c r="X397" s="32" t="s">
        <v>80</v>
      </c>
      <c r="AD397" s="1">
        <v>194917995303</v>
      </c>
      <c r="AN397">
        <v>30</v>
      </c>
      <c r="AO397" t="s">
        <v>81</v>
      </c>
    </row>
    <row r="398" spans="1:41" ht="90" x14ac:dyDescent="0.25">
      <c r="A398" s="2">
        <v>194917893869</v>
      </c>
      <c r="B398" t="s">
        <v>71</v>
      </c>
      <c r="C398" t="s">
        <v>72</v>
      </c>
      <c r="D398" t="s">
        <v>1240</v>
      </c>
      <c r="E398" t="s">
        <v>1241</v>
      </c>
      <c r="F398">
        <v>316210</v>
      </c>
      <c r="G398" s="35" t="s">
        <v>1163</v>
      </c>
      <c r="H398" s="31" t="s">
        <v>1242</v>
      </c>
      <c r="J398" t="s">
        <v>77</v>
      </c>
      <c r="M398">
        <v>125</v>
      </c>
      <c r="P398" t="s">
        <v>78</v>
      </c>
      <c r="Q398" s="55">
        <v>119.09090909090908</v>
      </c>
      <c r="R398" s="32">
        <v>65.5</v>
      </c>
      <c r="S398" s="33">
        <v>0.33</v>
      </c>
      <c r="T398" s="34">
        <f t="shared" si="13"/>
        <v>97.761194029850756</v>
      </c>
      <c r="U398" s="34">
        <f t="shared" si="14"/>
        <v>98.983208955223887</v>
      </c>
      <c r="V398" t="s">
        <v>79</v>
      </c>
      <c r="W398" s="32">
        <v>15</v>
      </c>
      <c r="X398" s="32" t="s">
        <v>80</v>
      </c>
      <c r="AD398" s="1">
        <v>194917893869</v>
      </c>
      <c r="AN398">
        <v>30</v>
      </c>
      <c r="AO398" t="s">
        <v>81</v>
      </c>
    </row>
    <row r="399" spans="1:41" ht="90" x14ac:dyDescent="0.25">
      <c r="A399" s="2">
        <v>194917995310</v>
      </c>
      <c r="B399" t="s">
        <v>71</v>
      </c>
      <c r="C399" t="s">
        <v>72</v>
      </c>
      <c r="D399" t="s">
        <v>1243</v>
      </c>
      <c r="E399" t="s">
        <v>1244</v>
      </c>
      <c r="F399">
        <v>316210</v>
      </c>
      <c r="G399" s="35" t="s">
        <v>1163</v>
      </c>
      <c r="H399" s="31" t="s">
        <v>1245</v>
      </c>
      <c r="J399" t="s">
        <v>77</v>
      </c>
      <c r="M399">
        <v>125</v>
      </c>
      <c r="P399" t="s">
        <v>78</v>
      </c>
      <c r="Q399" s="55">
        <v>119.09090909090908</v>
      </c>
      <c r="R399" s="32">
        <v>65.5</v>
      </c>
      <c r="S399" s="33">
        <v>0.33</v>
      </c>
      <c r="T399" s="34">
        <f t="shared" si="13"/>
        <v>97.761194029850756</v>
      </c>
      <c r="U399" s="34">
        <f t="shared" si="14"/>
        <v>98.983208955223887</v>
      </c>
      <c r="V399" t="s">
        <v>79</v>
      </c>
      <c r="W399" s="32">
        <v>15</v>
      </c>
      <c r="X399" s="32" t="s">
        <v>80</v>
      </c>
      <c r="AD399" s="1">
        <v>194917995310</v>
      </c>
      <c r="AN399">
        <v>30</v>
      </c>
      <c r="AO399" t="s">
        <v>81</v>
      </c>
    </row>
    <row r="400" spans="1:41" ht="90" x14ac:dyDescent="0.25">
      <c r="A400" s="2">
        <v>194917894019</v>
      </c>
      <c r="B400" t="s">
        <v>71</v>
      </c>
      <c r="C400" t="s">
        <v>72</v>
      </c>
      <c r="D400" t="s">
        <v>1246</v>
      </c>
      <c r="E400" t="s">
        <v>1247</v>
      </c>
      <c r="F400">
        <v>316210</v>
      </c>
      <c r="G400" s="35" t="s">
        <v>1248</v>
      </c>
      <c r="H400" s="31" t="s">
        <v>1164</v>
      </c>
      <c r="J400" t="s">
        <v>77</v>
      </c>
      <c r="M400">
        <v>145</v>
      </c>
      <c r="P400" t="s">
        <v>78</v>
      </c>
      <c r="Q400" s="55">
        <v>139.09090909090909</v>
      </c>
      <c r="R400" s="32">
        <v>76.5</v>
      </c>
      <c r="S400" s="33">
        <v>0.33</v>
      </c>
      <c r="T400" s="34">
        <f t="shared" si="13"/>
        <v>114.17910447761196</v>
      </c>
      <c r="U400" s="34">
        <f t="shared" si="14"/>
        <v>115.60634328358211</v>
      </c>
      <c r="V400" t="s">
        <v>79</v>
      </c>
      <c r="W400" s="32">
        <v>15</v>
      </c>
      <c r="X400" s="32" t="s">
        <v>80</v>
      </c>
      <c r="AD400" s="1">
        <v>194917894019</v>
      </c>
      <c r="AN400">
        <v>30</v>
      </c>
      <c r="AO400" t="s">
        <v>81</v>
      </c>
    </row>
    <row r="401" spans="1:41" ht="90" x14ac:dyDescent="0.25">
      <c r="A401" s="2">
        <v>194917992890</v>
      </c>
      <c r="B401" t="s">
        <v>71</v>
      </c>
      <c r="C401" t="s">
        <v>72</v>
      </c>
      <c r="D401" t="s">
        <v>1249</v>
      </c>
      <c r="E401" t="s">
        <v>1250</v>
      </c>
      <c r="F401">
        <v>316210</v>
      </c>
      <c r="G401" s="35" t="s">
        <v>1248</v>
      </c>
      <c r="H401" s="31" t="s">
        <v>1167</v>
      </c>
      <c r="J401" t="s">
        <v>77</v>
      </c>
      <c r="M401">
        <v>145</v>
      </c>
      <c r="P401" t="s">
        <v>78</v>
      </c>
      <c r="Q401" s="55">
        <v>139.09090909090909</v>
      </c>
      <c r="R401" s="32">
        <v>76.5</v>
      </c>
      <c r="S401" s="33">
        <v>0.33</v>
      </c>
      <c r="T401" s="34">
        <f t="shared" si="13"/>
        <v>114.17910447761196</v>
      </c>
      <c r="U401" s="34">
        <f t="shared" si="14"/>
        <v>115.60634328358211</v>
      </c>
      <c r="V401" t="s">
        <v>79</v>
      </c>
      <c r="W401" s="32">
        <v>15</v>
      </c>
      <c r="X401" s="32" t="s">
        <v>80</v>
      </c>
      <c r="AD401" s="1">
        <v>194917992890</v>
      </c>
      <c r="AN401">
        <v>30</v>
      </c>
      <c r="AO401" t="s">
        <v>81</v>
      </c>
    </row>
    <row r="402" spans="1:41" ht="90" x14ac:dyDescent="0.25">
      <c r="A402" s="2">
        <v>194917894026</v>
      </c>
      <c r="B402" t="s">
        <v>71</v>
      </c>
      <c r="C402" t="s">
        <v>72</v>
      </c>
      <c r="D402" t="s">
        <v>1251</v>
      </c>
      <c r="E402" t="s">
        <v>1252</v>
      </c>
      <c r="F402">
        <v>316210</v>
      </c>
      <c r="G402" s="35" t="s">
        <v>1248</v>
      </c>
      <c r="H402" s="31" t="s">
        <v>1170</v>
      </c>
      <c r="J402" t="s">
        <v>77</v>
      </c>
      <c r="M402">
        <v>145</v>
      </c>
      <c r="P402" t="s">
        <v>78</v>
      </c>
      <c r="Q402" s="55">
        <v>139.09090909090909</v>
      </c>
      <c r="R402" s="32">
        <v>76.5</v>
      </c>
      <c r="S402" s="33">
        <v>0.33</v>
      </c>
      <c r="T402" s="34">
        <f t="shared" si="13"/>
        <v>114.17910447761196</v>
      </c>
      <c r="U402" s="34">
        <f t="shared" si="14"/>
        <v>115.60634328358211</v>
      </c>
      <c r="V402" t="s">
        <v>79</v>
      </c>
      <c r="W402" s="32">
        <v>15</v>
      </c>
      <c r="X402" s="32" t="s">
        <v>80</v>
      </c>
      <c r="AD402" s="1">
        <v>194917894026</v>
      </c>
      <c r="AN402">
        <v>30</v>
      </c>
      <c r="AO402" t="s">
        <v>81</v>
      </c>
    </row>
    <row r="403" spans="1:41" ht="90" x14ac:dyDescent="0.25">
      <c r="A403" s="2">
        <v>194917992906</v>
      </c>
      <c r="B403" t="s">
        <v>71</v>
      </c>
      <c r="C403" t="s">
        <v>72</v>
      </c>
      <c r="D403" t="s">
        <v>1253</v>
      </c>
      <c r="E403" t="s">
        <v>1254</v>
      </c>
      <c r="F403">
        <v>316210</v>
      </c>
      <c r="G403" s="35" t="s">
        <v>1248</v>
      </c>
      <c r="H403" s="31" t="s">
        <v>1173</v>
      </c>
      <c r="J403" t="s">
        <v>77</v>
      </c>
      <c r="M403">
        <v>145</v>
      </c>
      <c r="P403" t="s">
        <v>78</v>
      </c>
      <c r="Q403" s="55">
        <v>139.09090909090909</v>
      </c>
      <c r="R403" s="32">
        <v>76.5</v>
      </c>
      <c r="S403" s="33">
        <v>0.33</v>
      </c>
      <c r="T403" s="34">
        <f t="shared" si="13"/>
        <v>114.17910447761196</v>
      </c>
      <c r="U403" s="34">
        <f t="shared" si="14"/>
        <v>115.60634328358211</v>
      </c>
      <c r="V403" t="s">
        <v>79</v>
      </c>
      <c r="W403" s="32">
        <v>15</v>
      </c>
      <c r="X403" s="32" t="s">
        <v>80</v>
      </c>
      <c r="AD403" s="1">
        <v>194917992906</v>
      </c>
      <c r="AN403">
        <v>30</v>
      </c>
      <c r="AO403" t="s">
        <v>81</v>
      </c>
    </row>
    <row r="404" spans="1:41" ht="90" x14ac:dyDescent="0.25">
      <c r="A404" s="2">
        <v>194917894033</v>
      </c>
      <c r="B404" t="s">
        <v>71</v>
      </c>
      <c r="C404" t="s">
        <v>72</v>
      </c>
      <c r="D404" t="s">
        <v>1255</v>
      </c>
      <c r="E404" t="s">
        <v>1256</v>
      </c>
      <c r="F404">
        <v>316210</v>
      </c>
      <c r="G404" s="35" t="s">
        <v>1248</v>
      </c>
      <c r="H404" s="31" t="s">
        <v>1176</v>
      </c>
      <c r="J404" t="s">
        <v>77</v>
      </c>
      <c r="M404">
        <v>145</v>
      </c>
      <c r="P404" t="s">
        <v>78</v>
      </c>
      <c r="Q404" s="55">
        <v>139.09090909090909</v>
      </c>
      <c r="R404" s="32">
        <v>76.5</v>
      </c>
      <c r="S404" s="33">
        <v>0.33</v>
      </c>
      <c r="T404" s="34">
        <f t="shared" si="13"/>
        <v>114.17910447761196</v>
      </c>
      <c r="U404" s="34">
        <f t="shared" si="14"/>
        <v>115.60634328358211</v>
      </c>
      <c r="V404" t="s">
        <v>79</v>
      </c>
      <c r="W404" s="32">
        <v>15</v>
      </c>
      <c r="X404" s="32" t="s">
        <v>80</v>
      </c>
      <c r="AD404" s="1">
        <v>194917894033</v>
      </c>
      <c r="AN404">
        <v>30</v>
      </c>
      <c r="AO404" t="s">
        <v>81</v>
      </c>
    </row>
    <row r="405" spans="1:41" ht="90" x14ac:dyDescent="0.25">
      <c r="A405" s="2">
        <v>194917992913</v>
      </c>
      <c r="B405" t="s">
        <v>71</v>
      </c>
      <c r="C405" t="s">
        <v>72</v>
      </c>
      <c r="D405" t="s">
        <v>1257</v>
      </c>
      <c r="E405" t="s">
        <v>1258</v>
      </c>
      <c r="F405">
        <v>316210</v>
      </c>
      <c r="G405" s="35" t="s">
        <v>1248</v>
      </c>
      <c r="H405" s="31" t="s">
        <v>1179</v>
      </c>
      <c r="J405" t="s">
        <v>77</v>
      </c>
      <c r="M405">
        <v>145</v>
      </c>
      <c r="P405" t="s">
        <v>78</v>
      </c>
      <c r="Q405" s="55">
        <v>139.09090909090909</v>
      </c>
      <c r="R405" s="32">
        <v>76.5</v>
      </c>
      <c r="S405" s="33">
        <v>0.33</v>
      </c>
      <c r="T405" s="34">
        <f t="shared" si="13"/>
        <v>114.17910447761196</v>
      </c>
      <c r="U405" s="34">
        <f t="shared" si="14"/>
        <v>115.60634328358211</v>
      </c>
      <c r="V405" t="s">
        <v>79</v>
      </c>
      <c r="W405" s="32">
        <v>15</v>
      </c>
      <c r="X405" s="32" t="s">
        <v>80</v>
      </c>
      <c r="AD405" s="1">
        <v>194917992913</v>
      </c>
      <c r="AN405">
        <v>30</v>
      </c>
      <c r="AO405" t="s">
        <v>81</v>
      </c>
    </row>
    <row r="406" spans="1:41" ht="90" x14ac:dyDescent="0.25">
      <c r="A406" s="2">
        <v>194917894040</v>
      </c>
      <c r="B406" t="s">
        <v>71</v>
      </c>
      <c r="C406" t="s">
        <v>72</v>
      </c>
      <c r="D406" t="s">
        <v>1259</v>
      </c>
      <c r="E406" t="s">
        <v>1260</v>
      </c>
      <c r="F406">
        <v>316210</v>
      </c>
      <c r="G406" s="35" t="s">
        <v>1248</v>
      </c>
      <c r="H406" s="31" t="s">
        <v>1182</v>
      </c>
      <c r="J406" t="s">
        <v>77</v>
      </c>
      <c r="M406">
        <v>145</v>
      </c>
      <c r="P406" t="s">
        <v>78</v>
      </c>
      <c r="Q406" s="55">
        <v>139.09090909090909</v>
      </c>
      <c r="R406" s="32">
        <v>76.5</v>
      </c>
      <c r="S406" s="33">
        <v>0.33</v>
      </c>
      <c r="T406" s="34">
        <f t="shared" si="13"/>
        <v>114.17910447761196</v>
      </c>
      <c r="U406" s="34">
        <f t="shared" si="14"/>
        <v>115.60634328358211</v>
      </c>
      <c r="V406" t="s">
        <v>79</v>
      </c>
      <c r="W406" s="32">
        <v>15</v>
      </c>
      <c r="X406" s="32" t="s">
        <v>80</v>
      </c>
      <c r="AD406" s="1">
        <v>194917894040</v>
      </c>
      <c r="AN406">
        <v>30</v>
      </c>
      <c r="AO406" t="s">
        <v>81</v>
      </c>
    </row>
    <row r="407" spans="1:41" ht="90" x14ac:dyDescent="0.25">
      <c r="A407" s="2">
        <v>194917992920</v>
      </c>
      <c r="B407" t="s">
        <v>71</v>
      </c>
      <c r="C407" t="s">
        <v>72</v>
      </c>
      <c r="D407" t="s">
        <v>1261</v>
      </c>
      <c r="E407" t="s">
        <v>1262</v>
      </c>
      <c r="F407">
        <v>316210</v>
      </c>
      <c r="G407" s="35" t="s">
        <v>1248</v>
      </c>
      <c r="H407" s="31" t="s">
        <v>1185</v>
      </c>
      <c r="J407" t="s">
        <v>77</v>
      </c>
      <c r="M407">
        <v>145</v>
      </c>
      <c r="P407" t="s">
        <v>78</v>
      </c>
      <c r="Q407" s="55">
        <v>139.09090909090909</v>
      </c>
      <c r="R407" s="32">
        <v>76.5</v>
      </c>
      <c r="S407" s="33">
        <v>0.33</v>
      </c>
      <c r="T407" s="34">
        <f t="shared" si="13"/>
        <v>114.17910447761196</v>
      </c>
      <c r="U407" s="34">
        <f t="shared" si="14"/>
        <v>115.60634328358211</v>
      </c>
      <c r="V407" t="s">
        <v>79</v>
      </c>
      <c r="W407" s="32">
        <v>15</v>
      </c>
      <c r="X407" s="32" t="s">
        <v>80</v>
      </c>
      <c r="AD407" s="1">
        <v>194917992920</v>
      </c>
      <c r="AN407">
        <v>30</v>
      </c>
      <c r="AO407" t="s">
        <v>81</v>
      </c>
    </row>
    <row r="408" spans="1:41" ht="90" x14ac:dyDescent="0.25">
      <c r="A408" s="2">
        <v>194917894057</v>
      </c>
      <c r="B408" t="s">
        <v>71</v>
      </c>
      <c r="C408" t="s">
        <v>72</v>
      </c>
      <c r="D408" t="s">
        <v>1263</v>
      </c>
      <c r="E408" t="s">
        <v>1264</v>
      </c>
      <c r="F408">
        <v>316210</v>
      </c>
      <c r="G408" s="35" t="s">
        <v>1248</v>
      </c>
      <c r="H408" s="31" t="s">
        <v>1188</v>
      </c>
      <c r="J408" t="s">
        <v>77</v>
      </c>
      <c r="M408">
        <v>145</v>
      </c>
      <c r="P408" t="s">
        <v>78</v>
      </c>
      <c r="Q408" s="55">
        <v>139.09090909090909</v>
      </c>
      <c r="R408" s="32">
        <v>76.5</v>
      </c>
      <c r="S408" s="33">
        <v>0.33</v>
      </c>
      <c r="T408" s="34">
        <f t="shared" si="13"/>
        <v>114.17910447761196</v>
      </c>
      <c r="U408" s="34">
        <f t="shared" si="14"/>
        <v>115.60634328358211</v>
      </c>
      <c r="V408" t="s">
        <v>79</v>
      </c>
      <c r="W408" s="32">
        <v>15</v>
      </c>
      <c r="X408" s="32" t="s">
        <v>80</v>
      </c>
      <c r="AD408" s="1">
        <v>194917894057</v>
      </c>
      <c r="AN408">
        <v>30</v>
      </c>
      <c r="AO408" t="s">
        <v>81</v>
      </c>
    </row>
    <row r="409" spans="1:41" ht="90" x14ac:dyDescent="0.25">
      <c r="A409" s="2">
        <v>194917992937</v>
      </c>
      <c r="B409" t="s">
        <v>71</v>
      </c>
      <c r="C409" t="s">
        <v>72</v>
      </c>
      <c r="D409" t="s">
        <v>1265</v>
      </c>
      <c r="E409" t="s">
        <v>1266</v>
      </c>
      <c r="F409">
        <v>316210</v>
      </c>
      <c r="G409" s="35" t="s">
        <v>1248</v>
      </c>
      <c r="H409" s="31" t="s">
        <v>1191</v>
      </c>
      <c r="J409" t="s">
        <v>77</v>
      </c>
      <c r="M409">
        <v>145</v>
      </c>
      <c r="P409" t="s">
        <v>78</v>
      </c>
      <c r="Q409" s="55">
        <v>139.09090909090909</v>
      </c>
      <c r="R409" s="32">
        <v>76.5</v>
      </c>
      <c r="S409" s="33">
        <v>0.33</v>
      </c>
      <c r="T409" s="34">
        <f t="shared" si="13"/>
        <v>114.17910447761196</v>
      </c>
      <c r="U409" s="34">
        <f t="shared" si="14"/>
        <v>115.60634328358211</v>
      </c>
      <c r="V409" t="s">
        <v>79</v>
      </c>
      <c r="W409" s="32">
        <v>15</v>
      </c>
      <c r="X409" s="32" t="s">
        <v>80</v>
      </c>
      <c r="AD409" s="1">
        <v>194917992937</v>
      </c>
      <c r="AN409">
        <v>30</v>
      </c>
      <c r="AO409" t="s">
        <v>81</v>
      </c>
    </row>
    <row r="410" spans="1:41" ht="90" x14ac:dyDescent="0.25">
      <c r="A410" s="2">
        <v>194917894064</v>
      </c>
      <c r="B410" t="s">
        <v>71</v>
      </c>
      <c r="C410" t="s">
        <v>72</v>
      </c>
      <c r="D410" t="s">
        <v>1267</v>
      </c>
      <c r="E410" t="s">
        <v>1268</v>
      </c>
      <c r="F410">
        <v>316210</v>
      </c>
      <c r="G410" s="35" t="s">
        <v>1248</v>
      </c>
      <c r="H410" s="31" t="s">
        <v>1194</v>
      </c>
      <c r="J410" t="s">
        <v>77</v>
      </c>
      <c r="M410">
        <v>145</v>
      </c>
      <c r="P410" t="s">
        <v>78</v>
      </c>
      <c r="Q410" s="55">
        <v>139.09090909090909</v>
      </c>
      <c r="R410" s="32">
        <v>76.5</v>
      </c>
      <c r="S410" s="33">
        <v>0.33</v>
      </c>
      <c r="T410" s="34">
        <f t="shared" si="13"/>
        <v>114.17910447761196</v>
      </c>
      <c r="U410" s="34">
        <f t="shared" si="14"/>
        <v>115.60634328358211</v>
      </c>
      <c r="V410" t="s">
        <v>79</v>
      </c>
      <c r="W410" s="32">
        <v>15</v>
      </c>
      <c r="X410" s="32" t="s">
        <v>80</v>
      </c>
      <c r="AD410" s="1">
        <v>194917894064</v>
      </c>
      <c r="AN410">
        <v>30</v>
      </c>
      <c r="AO410" t="s">
        <v>81</v>
      </c>
    </row>
    <row r="411" spans="1:41" ht="90" x14ac:dyDescent="0.25">
      <c r="A411" s="2">
        <v>194917992944</v>
      </c>
      <c r="B411" t="s">
        <v>71</v>
      </c>
      <c r="C411" t="s">
        <v>72</v>
      </c>
      <c r="D411" t="s">
        <v>1269</v>
      </c>
      <c r="E411" t="s">
        <v>1270</v>
      </c>
      <c r="F411">
        <v>316210</v>
      </c>
      <c r="G411" s="35" t="s">
        <v>1248</v>
      </c>
      <c r="H411" s="31" t="s">
        <v>1197</v>
      </c>
      <c r="J411" t="s">
        <v>77</v>
      </c>
      <c r="M411">
        <v>145</v>
      </c>
      <c r="P411" t="s">
        <v>78</v>
      </c>
      <c r="Q411" s="55">
        <v>139.09090909090909</v>
      </c>
      <c r="R411" s="32">
        <v>76.5</v>
      </c>
      <c r="S411" s="33">
        <v>0.33</v>
      </c>
      <c r="T411" s="34">
        <f t="shared" si="13"/>
        <v>114.17910447761196</v>
      </c>
      <c r="U411" s="34">
        <f t="shared" si="14"/>
        <v>115.60634328358211</v>
      </c>
      <c r="V411" t="s">
        <v>79</v>
      </c>
      <c r="W411" s="32">
        <v>15</v>
      </c>
      <c r="X411" s="32" t="s">
        <v>80</v>
      </c>
      <c r="AD411" s="1">
        <v>194917992944</v>
      </c>
      <c r="AN411">
        <v>30</v>
      </c>
      <c r="AO411" t="s">
        <v>81</v>
      </c>
    </row>
    <row r="412" spans="1:41" ht="90" x14ac:dyDescent="0.25">
      <c r="A412" s="2">
        <v>194917894071</v>
      </c>
      <c r="B412" t="s">
        <v>71</v>
      </c>
      <c r="C412" t="s">
        <v>72</v>
      </c>
      <c r="D412" t="s">
        <v>1271</v>
      </c>
      <c r="E412" t="s">
        <v>1272</v>
      </c>
      <c r="F412">
        <v>316210</v>
      </c>
      <c r="G412" s="35" t="s">
        <v>1248</v>
      </c>
      <c r="H412" s="31" t="s">
        <v>1200</v>
      </c>
      <c r="J412" t="s">
        <v>77</v>
      </c>
      <c r="M412">
        <v>145</v>
      </c>
      <c r="P412" t="s">
        <v>78</v>
      </c>
      <c r="Q412" s="55">
        <v>139.09090909090909</v>
      </c>
      <c r="R412" s="32">
        <v>76.5</v>
      </c>
      <c r="S412" s="33">
        <v>0.33</v>
      </c>
      <c r="T412" s="34">
        <f t="shared" si="13"/>
        <v>114.17910447761196</v>
      </c>
      <c r="U412" s="34">
        <f t="shared" si="14"/>
        <v>115.60634328358211</v>
      </c>
      <c r="V412" t="s">
        <v>79</v>
      </c>
      <c r="W412" s="32">
        <v>15</v>
      </c>
      <c r="X412" s="32" t="s">
        <v>80</v>
      </c>
      <c r="AD412" s="1">
        <v>194917894071</v>
      </c>
      <c r="AN412">
        <v>30</v>
      </c>
      <c r="AO412" t="s">
        <v>81</v>
      </c>
    </row>
    <row r="413" spans="1:41" ht="90" x14ac:dyDescent="0.25">
      <c r="A413" s="2">
        <v>194917992951</v>
      </c>
      <c r="B413" t="s">
        <v>71</v>
      </c>
      <c r="C413" t="s">
        <v>72</v>
      </c>
      <c r="D413" t="s">
        <v>1273</v>
      </c>
      <c r="E413" t="s">
        <v>1274</v>
      </c>
      <c r="F413">
        <v>316210</v>
      </c>
      <c r="G413" s="35" t="s">
        <v>1248</v>
      </c>
      <c r="H413" s="31" t="s">
        <v>1203</v>
      </c>
      <c r="J413" t="s">
        <v>77</v>
      </c>
      <c r="M413">
        <v>145</v>
      </c>
      <c r="P413" t="s">
        <v>78</v>
      </c>
      <c r="Q413" s="55">
        <v>139.09090909090909</v>
      </c>
      <c r="R413" s="32">
        <v>76.5</v>
      </c>
      <c r="S413" s="33">
        <v>0.33</v>
      </c>
      <c r="T413" s="34">
        <f t="shared" si="13"/>
        <v>114.17910447761196</v>
      </c>
      <c r="U413" s="34">
        <f t="shared" si="14"/>
        <v>115.60634328358211</v>
      </c>
      <c r="V413" t="s">
        <v>79</v>
      </c>
      <c r="W413" s="32">
        <v>15</v>
      </c>
      <c r="X413" s="32" t="s">
        <v>80</v>
      </c>
      <c r="AD413" s="1">
        <v>194917992951</v>
      </c>
      <c r="AN413">
        <v>30</v>
      </c>
      <c r="AO413" t="s">
        <v>81</v>
      </c>
    </row>
    <row r="414" spans="1:41" ht="90" x14ac:dyDescent="0.25">
      <c r="A414" s="2">
        <v>194917894088</v>
      </c>
      <c r="B414" t="s">
        <v>71</v>
      </c>
      <c r="C414" t="s">
        <v>72</v>
      </c>
      <c r="D414" t="s">
        <v>1275</v>
      </c>
      <c r="E414" t="s">
        <v>1276</v>
      </c>
      <c r="F414">
        <v>316210</v>
      </c>
      <c r="G414" s="35" t="s">
        <v>1248</v>
      </c>
      <c r="H414" s="31" t="s">
        <v>1206</v>
      </c>
      <c r="J414" t="s">
        <v>77</v>
      </c>
      <c r="M414">
        <v>145</v>
      </c>
      <c r="P414" t="s">
        <v>78</v>
      </c>
      <c r="Q414" s="55">
        <v>139.09090909090909</v>
      </c>
      <c r="R414" s="32">
        <v>76.5</v>
      </c>
      <c r="S414" s="33">
        <v>0.33</v>
      </c>
      <c r="T414" s="34">
        <f t="shared" si="13"/>
        <v>114.17910447761196</v>
      </c>
      <c r="U414" s="34">
        <f t="shared" si="14"/>
        <v>115.60634328358211</v>
      </c>
      <c r="V414" t="s">
        <v>79</v>
      </c>
      <c r="W414" s="32">
        <v>15</v>
      </c>
      <c r="X414" s="32" t="s">
        <v>80</v>
      </c>
      <c r="AD414" s="1">
        <v>194917894088</v>
      </c>
      <c r="AN414">
        <v>30</v>
      </c>
      <c r="AO414" t="s">
        <v>81</v>
      </c>
    </row>
    <row r="415" spans="1:41" ht="90" x14ac:dyDescent="0.25">
      <c r="A415" s="2">
        <v>194917992968</v>
      </c>
      <c r="B415" t="s">
        <v>71</v>
      </c>
      <c r="C415" t="s">
        <v>72</v>
      </c>
      <c r="D415" t="s">
        <v>1277</v>
      </c>
      <c r="E415" t="s">
        <v>1278</v>
      </c>
      <c r="F415">
        <v>316210</v>
      </c>
      <c r="G415" s="35" t="s">
        <v>1248</v>
      </c>
      <c r="H415" s="31" t="s">
        <v>1209</v>
      </c>
      <c r="J415" t="s">
        <v>77</v>
      </c>
      <c r="M415">
        <v>145</v>
      </c>
      <c r="P415" t="s">
        <v>78</v>
      </c>
      <c r="Q415" s="55">
        <v>139.09090909090909</v>
      </c>
      <c r="R415" s="32">
        <v>76.5</v>
      </c>
      <c r="S415" s="33">
        <v>0.33</v>
      </c>
      <c r="T415" s="34">
        <f t="shared" si="13"/>
        <v>114.17910447761196</v>
      </c>
      <c r="U415" s="34">
        <f t="shared" si="14"/>
        <v>115.60634328358211</v>
      </c>
      <c r="V415" t="s">
        <v>79</v>
      </c>
      <c r="W415" s="32">
        <v>15</v>
      </c>
      <c r="X415" s="32" t="s">
        <v>80</v>
      </c>
      <c r="AD415" s="1">
        <v>194917992968</v>
      </c>
      <c r="AN415">
        <v>30</v>
      </c>
      <c r="AO415" t="s">
        <v>81</v>
      </c>
    </row>
    <row r="416" spans="1:41" ht="90" x14ac:dyDescent="0.25">
      <c r="A416" s="2">
        <v>194917894095</v>
      </c>
      <c r="B416" t="s">
        <v>71</v>
      </c>
      <c r="C416" t="s">
        <v>72</v>
      </c>
      <c r="D416" t="s">
        <v>1279</v>
      </c>
      <c r="E416" t="s">
        <v>1280</v>
      </c>
      <c r="F416">
        <v>316210</v>
      </c>
      <c r="G416" s="35" t="s">
        <v>1248</v>
      </c>
      <c r="H416" s="31" t="s">
        <v>1212</v>
      </c>
      <c r="J416" t="s">
        <v>77</v>
      </c>
      <c r="M416">
        <v>145</v>
      </c>
      <c r="P416" t="s">
        <v>78</v>
      </c>
      <c r="Q416" s="55">
        <v>139.09090909090909</v>
      </c>
      <c r="R416" s="32">
        <v>76.5</v>
      </c>
      <c r="S416" s="33">
        <v>0.33</v>
      </c>
      <c r="T416" s="34">
        <f t="shared" si="13"/>
        <v>114.17910447761196</v>
      </c>
      <c r="U416" s="34">
        <f t="shared" si="14"/>
        <v>115.60634328358211</v>
      </c>
      <c r="V416" t="s">
        <v>79</v>
      </c>
      <c r="W416" s="32">
        <v>15</v>
      </c>
      <c r="X416" s="32" t="s">
        <v>80</v>
      </c>
      <c r="AD416" s="1">
        <v>194917894095</v>
      </c>
      <c r="AN416">
        <v>30</v>
      </c>
      <c r="AO416" t="s">
        <v>81</v>
      </c>
    </row>
    <row r="417" spans="1:41" ht="90" x14ac:dyDescent="0.25">
      <c r="A417" s="2">
        <v>194917992975</v>
      </c>
      <c r="B417" t="s">
        <v>71</v>
      </c>
      <c r="C417" t="s">
        <v>72</v>
      </c>
      <c r="D417" t="s">
        <v>1281</v>
      </c>
      <c r="E417" t="s">
        <v>1282</v>
      </c>
      <c r="F417">
        <v>316210</v>
      </c>
      <c r="G417" s="35" t="s">
        <v>1248</v>
      </c>
      <c r="H417" s="31" t="s">
        <v>1215</v>
      </c>
      <c r="J417" t="s">
        <v>77</v>
      </c>
      <c r="M417">
        <v>145</v>
      </c>
      <c r="P417" t="s">
        <v>78</v>
      </c>
      <c r="Q417" s="55">
        <v>139.09090909090909</v>
      </c>
      <c r="R417" s="32">
        <v>76.5</v>
      </c>
      <c r="S417" s="33">
        <v>0.33</v>
      </c>
      <c r="T417" s="34">
        <f t="shared" si="13"/>
        <v>114.17910447761196</v>
      </c>
      <c r="U417" s="34">
        <f t="shared" si="14"/>
        <v>115.60634328358211</v>
      </c>
      <c r="V417" t="s">
        <v>79</v>
      </c>
      <c r="W417" s="32">
        <v>15</v>
      </c>
      <c r="X417" s="32" t="s">
        <v>80</v>
      </c>
      <c r="AD417" s="1">
        <v>194917992975</v>
      </c>
      <c r="AN417">
        <v>30</v>
      </c>
      <c r="AO417" t="s">
        <v>81</v>
      </c>
    </row>
    <row r="418" spans="1:41" ht="90" x14ac:dyDescent="0.25">
      <c r="A418" s="2">
        <v>194917894101</v>
      </c>
      <c r="B418" t="s">
        <v>71</v>
      </c>
      <c r="C418" t="s">
        <v>72</v>
      </c>
      <c r="D418" t="s">
        <v>1283</v>
      </c>
      <c r="E418" t="s">
        <v>1284</v>
      </c>
      <c r="F418">
        <v>316210</v>
      </c>
      <c r="G418" s="35" t="s">
        <v>1248</v>
      </c>
      <c r="H418" s="31" t="s">
        <v>1218</v>
      </c>
      <c r="J418" t="s">
        <v>77</v>
      </c>
      <c r="M418">
        <v>145</v>
      </c>
      <c r="P418" t="s">
        <v>78</v>
      </c>
      <c r="Q418" s="55">
        <v>139.09090909090909</v>
      </c>
      <c r="R418" s="32">
        <v>76.5</v>
      </c>
      <c r="S418" s="33">
        <v>0.33</v>
      </c>
      <c r="T418" s="34">
        <f t="shared" si="13"/>
        <v>114.17910447761196</v>
      </c>
      <c r="U418" s="34">
        <f t="shared" si="14"/>
        <v>115.60634328358211</v>
      </c>
      <c r="V418" t="s">
        <v>79</v>
      </c>
      <c r="W418" s="32">
        <v>15</v>
      </c>
      <c r="X418" s="32" t="s">
        <v>80</v>
      </c>
      <c r="AD418" s="1">
        <v>194917894101</v>
      </c>
      <c r="AN418">
        <v>30</v>
      </c>
      <c r="AO418" t="s">
        <v>81</v>
      </c>
    </row>
    <row r="419" spans="1:41" ht="90" x14ac:dyDescent="0.25">
      <c r="A419" s="2">
        <v>194917992982</v>
      </c>
      <c r="B419" t="s">
        <v>71</v>
      </c>
      <c r="C419" t="s">
        <v>72</v>
      </c>
      <c r="D419" t="s">
        <v>1285</v>
      </c>
      <c r="E419" t="s">
        <v>1286</v>
      </c>
      <c r="F419">
        <v>316210</v>
      </c>
      <c r="G419" s="35" t="s">
        <v>1248</v>
      </c>
      <c r="H419" s="31" t="s">
        <v>1221</v>
      </c>
      <c r="J419" t="s">
        <v>77</v>
      </c>
      <c r="M419">
        <v>145</v>
      </c>
      <c r="P419" t="s">
        <v>78</v>
      </c>
      <c r="Q419" s="55">
        <v>139.09090909090909</v>
      </c>
      <c r="R419" s="32">
        <v>76.5</v>
      </c>
      <c r="S419" s="33">
        <v>0.33</v>
      </c>
      <c r="T419" s="34">
        <f t="shared" si="13"/>
        <v>114.17910447761196</v>
      </c>
      <c r="U419" s="34">
        <f t="shared" si="14"/>
        <v>115.60634328358211</v>
      </c>
      <c r="V419" t="s">
        <v>79</v>
      </c>
      <c r="W419" s="32">
        <v>15</v>
      </c>
      <c r="X419" s="32" t="s">
        <v>80</v>
      </c>
      <c r="AD419" s="1">
        <v>194917992982</v>
      </c>
      <c r="AN419">
        <v>30</v>
      </c>
      <c r="AO419" t="s">
        <v>81</v>
      </c>
    </row>
    <row r="420" spans="1:41" ht="90" x14ac:dyDescent="0.25">
      <c r="A420" s="2">
        <v>194917894118</v>
      </c>
      <c r="B420" t="s">
        <v>71</v>
      </c>
      <c r="C420" t="s">
        <v>72</v>
      </c>
      <c r="D420" t="s">
        <v>1287</v>
      </c>
      <c r="E420" t="s">
        <v>1288</v>
      </c>
      <c r="F420">
        <v>316210</v>
      </c>
      <c r="G420" s="35" t="s">
        <v>1248</v>
      </c>
      <c r="H420" s="31" t="s">
        <v>1224</v>
      </c>
      <c r="J420" t="s">
        <v>77</v>
      </c>
      <c r="M420">
        <v>145</v>
      </c>
      <c r="P420" t="s">
        <v>78</v>
      </c>
      <c r="Q420" s="55">
        <v>139.09090909090909</v>
      </c>
      <c r="R420" s="32">
        <v>76.5</v>
      </c>
      <c r="S420" s="33">
        <v>0.33</v>
      </c>
      <c r="T420" s="34">
        <f t="shared" si="13"/>
        <v>114.17910447761196</v>
      </c>
      <c r="U420" s="34">
        <f t="shared" si="14"/>
        <v>115.60634328358211</v>
      </c>
      <c r="V420" t="s">
        <v>79</v>
      </c>
      <c r="W420" s="32">
        <v>15</v>
      </c>
      <c r="X420" s="32" t="s">
        <v>80</v>
      </c>
      <c r="AD420" s="1">
        <v>194917894118</v>
      </c>
      <c r="AN420">
        <v>30</v>
      </c>
      <c r="AO420" t="s">
        <v>81</v>
      </c>
    </row>
    <row r="421" spans="1:41" ht="90" x14ac:dyDescent="0.25">
      <c r="A421" s="2">
        <v>194917992999</v>
      </c>
      <c r="B421" t="s">
        <v>71</v>
      </c>
      <c r="C421" t="s">
        <v>72</v>
      </c>
      <c r="D421" t="s">
        <v>1289</v>
      </c>
      <c r="E421" t="s">
        <v>1290</v>
      </c>
      <c r="F421">
        <v>316210</v>
      </c>
      <c r="G421" s="35" t="s">
        <v>1248</v>
      </c>
      <c r="H421" s="31" t="s">
        <v>1227</v>
      </c>
      <c r="J421" t="s">
        <v>77</v>
      </c>
      <c r="M421">
        <v>145</v>
      </c>
      <c r="P421" t="s">
        <v>78</v>
      </c>
      <c r="Q421" s="55">
        <v>139.09090909090909</v>
      </c>
      <c r="R421" s="32">
        <v>76.5</v>
      </c>
      <c r="S421" s="33">
        <v>0.33</v>
      </c>
      <c r="T421" s="34">
        <f t="shared" si="13"/>
        <v>114.17910447761196</v>
      </c>
      <c r="U421" s="34">
        <f t="shared" si="14"/>
        <v>115.60634328358211</v>
      </c>
      <c r="V421" t="s">
        <v>79</v>
      </c>
      <c r="W421" s="32">
        <v>15</v>
      </c>
      <c r="X421" s="32" t="s">
        <v>80</v>
      </c>
      <c r="AD421" s="1">
        <v>194917992999</v>
      </c>
      <c r="AN421">
        <v>30</v>
      </c>
      <c r="AO421" t="s">
        <v>81</v>
      </c>
    </row>
    <row r="422" spans="1:41" ht="90" x14ac:dyDescent="0.25">
      <c r="A422" s="2">
        <v>194917894125</v>
      </c>
      <c r="B422" t="s">
        <v>71</v>
      </c>
      <c r="C422" t="s">
        <v>72</v>
      </c>
      <c r="D422" t="s">
        <v>1291</v>
      </c>
      <c r="E422" t="s">
        <v>1292</v>
      </c>
      <c r="F422">
        <v>316210</v>
      </c>
      <c r="G422" s="35" t="s">
        <v>1248</v>
      </c>
      <c r="H422" s="31" t="s">
        <v>1230</v>
      </c>
      <c r="J422" t="s">
        <v>77</v>
      </c>
      <c r="M422">
        <v>145</v>
      </c>
      <c r="P422" t="s">
        <v>78</v>
      </c>
      <c r="Q422" s="55">
        <v>139.09090909090909</v>
      </c>
      <c r="R422" s="32">
        <v>76.5</v>
      </c>
      <c r="S422" s="33">
        <v>0.33</v>
      </c>
      <c r="T422" s="34">
        <f t="shared" si="13"/>
        <v>114.17910447761196</v>
      </c>
      <c r="U422" s="34">
        <f t="shared" si="14"/>
        <v>115.60634328358211</v>
      </c>
      <c r="V422" t="s">
        <v>79</v>
      </c>
      <c r="W422" s="32">
        <v>15</v>
      </c>
      <c r="X422" s="32" t="s">
        <v>80</v>
      </c>
      <c r="AD422" s="1">
        <v>194917894125</v>
      </c>
      <c r="AN422">
        <v>30</v>
      </c>
      <c r="AO422" t="s">
        <v>81</v>
      </c>
    </row>
    <row r="423" spans="1:41" ht="90" x14ac:dyDescent="0.25">
      <c r="A423" s="2">
        <v>194917993002</v>
      </c>
      <c r="B423" t="s">
        <v>71</v>
      </c>
      <c r="C423" t="s">
        <v>72</v>
      </c>
      <c r="D423" t="s">
        <v>1293</v>
      </c>
      <c r="E423" t="s">
        <v>1294</v>
      </c>
      <c r="F423">
        <v>316210</v>
      </c>
      <c r="G423" s="35" t="s">
        <v>1248</v>
      </c>
      <c r="H423" s="31" t="s">
        <v>1233</v>
      </c>
      <c r="J423" t="s">
        <v>77</v>
      </c>
      <c r="M423">
        <v>145</v>
      </c>
      <c r="P423" t="s">
        <v>78</v>
      </c>
      <c r="Q423" s="55">
        <v>139.09090909090909</v>
      </c>
      <c r="R423" s="32">
        <v>76.5</v>
      </c>
      <c r="S423" s="33">
        <v>0.33</v>
      </c>
      <c r="T423" s="34">
        <f t="shared" si="13"/>
        <v>114.17910447761196</v>
      </c>
      <c r="U423" s="34">
        <f t="shared" si="14"/>
        <v>115.60634328358211</v>
      </c>
      <c r="V423" t="s">
        <v>79</v>
      </c>
      <c r="W423" s="32">
        <v>15</v>
      </c>
      <c r="X423" s="32" t="s">
        <v>80</v>
      </c>
      <c r="AD423" s="1">
        <v>194917993002</v>
      </c>
      <c r="AN423">
        <v>30</v>
      </c>
      <c r="AO423" t="s">
        <v>81</v>
      </c>
    </row>
    <row r="424" spans="1:41" ht="90" x14ac:dyDescent="0.25">
      <c r="A424" s="2">
        <v>194917894132</v>
      </c>
      <c r="B424" t="s">
        <v>71</v>
      </c>
      <c r="C424" t="s">
        <v>72</v>
      </c>
      <c r="D424" t="s">
        <v>1295</v>
      </c>
      <c r="E424" t="s">
        <v>1296</v>
      </c>
      <c r="F424">
        <v>316210</v>
      </c>
      <c r="G424" s="35" t="s">
        <v>1248</v>
      </c>
      <c r="H424" s="31" t="s">
        <v>1236</v>
      </c>
      <c r="J424" t="s">
        <v>77</v>
      </c>
      <c r="M424">
        <v>145</v>
      </c>
      <c r="P424" t="s">
        <v>78</v>
      </c>
      <c r="Q424" s="55">
        <v>139.09090909090909</v>
      </c>
      <c r="R424" s="32">
        <v>76.5</v>
      </c>
      <c r="S424" s="33">
        <v>0.33</v>
      </c>
      <c r="T424" s="34">
        <f t="shared" si="13"/>
        <v>114.17910447761196</v>
      </c>
      <c r="U424" s="34">
        <f t="shared" si="14"/>
        <v>115.60634328358211</v>
      </c>
      <c r="V424" t="s">
        <v>79</v>
      </c>
      <c r="W424" s="32">
        <v>15</v>
      </c>
      <c r="X424" s="32" t="s">
        <v>80</v>
      </c>
      <c r="AD424" s="1">
        <v>194917894132</v>
      </c>
      <c r="AN424">
        <v>30</v>
      </c>
      <c r="AO424" t="s">
        <v>81</v>
      </c>
    </row>
    <row r="425" spans="1:41" ht="90" x14ac:dyDescent="0.25">
      <c r="A425" s="2">
        <v>194917993019</v>
      </c>
      <c r="B425" t="s">
        <v>71</v>
      </c>
      <c r="C425" t="s">
        <v>72</v>
      </c>
      <c r="D425" t="s">
        <v>1297</v>
      </c>
      <c r="E425" t="s">
        <v>1298</v>
      </c>
      <c r="F425">
        <v>316210</v>
      </c>
      <c r="G425" s="35" t="s">
        <v>1248</v>
      </c>
      <c r="H425" s="31" t="s">
        <v>1239</v>
      </c>
      <c r="J425" t="s">
        <v>77</v>
      </c>
      <c r="M425">
        <v>145</v>
      </c>
      <c r="P425" t="s">
        <v>78</v>
      </c>
      <c r="Q425" s="55">
        <v>139.09090909090909</v>
      </c>
      <c r="R425" s="32">
        <v>76.5</v>
      </c>
      <c r="S425" s="33">
        <v>0.33</v>
      </c>
      <c r="T425" s="34">
        <f t="shared" si="13"/>
        <v>114.17910447761196</v>
      </c>
      <c r="U425" s="34">
        <f t="shared" si="14"/>
        <v>115.60634328358211</v>
      </c>
      <c r="V425" t="s">
        <v>79</v>
      </c>
      <c r="W425" s="32">
        <v>15</v>
      </c>
      <c r="X425" s="32" t="s">
        <v>80</v>
      </c>
      <c r="AD425" s="1">
        <v>194917993019</v>
      </c>
      <c r="AN425">
        <v>30</v>
      </c>
      <c r="AO425" t="s">
        <v>81</v>
      </c>
    </row>
    <row r="426" spans="1:41" ht="90" x14ac:dyDescent="0.25">
      <c r="A426" s="2">
        <v>194917894149</v>
      </c>
      <c r="B426" t="s">
        <v>71</v>
      </c>
      <c r="C426" t="s">
        <v>72</v>
      </c>
      <c r="D426" t="s">
        <v>1299</v>
      </c>
      <c r="E426" t="s">
        <v>1300</v>
      </c>
      <c r="F426">
        <v>316210</v>
      </c>
      <c r="G426" s="35" t="s">
        <v>1248</v>
      </c>
      <c r="H426" s="31" t="s">
        <v>1242</v>
      </c>
      <c r="J426" t="s">
        <v>77</v>
      </c>
      <c r="M426">
        <v>145</v>
      </c>
      <c r="P426" t="s">
        <v>78</v>
      </c>
      <c r="Q426" s="55">
        <v>139.09090909090909</v>
      </c>
      <c r="R426" s="32">
        <v>76.5</v>
      </c>
      <c r="S426" s="33">
        <v>0.33</v>
      </c>
      <c r="T426" s="34">
        <f t="shared" si="13"/>
        <v>114.17910447761196</v>
      </c>
      <c r="U426" s="34">
        <f t="shared" si="14"/>
        <v>115.60634328358211</v>
      </c>
      <c r="V426" t="s">
        <v>79</v>
      </c>
      <c r="W426" s="32">
        <v>15</v>
      </c>
      <c r="X426" s="32" t="s">
        <v>80</v>
      </c>
      <c r="AD426" s="1">
        <v>194917894149</v>
      </c>
      <c r="AN426">
        <v>30</v>
      </c>
      <c r="AO426" t="s">
        <v>81</v>
      </c>
    </row>
    <row r="427" spans="1:41" ht="90" x14ac:dyDescent="0.25">
      <c r="A427" s="2">
        <v>194917993026</v>
      </c>
      <c r="B427" t="s">
        <v>71</v>
      </c>
      <c r="C427" t="s">
        <v>72</v>
      </c>
      <c r="D427" t="s">
        <v>1301</v>
      </c>
      <c r="E427" t="s">
        <v>1302</v>
      </c>
      <c r="F427">
        <v>316210</v>
      </c>
      <c r="G427" s="35" t="s">
        <v>1248</v>
      </c>
      <c r="H427" s="31" t="s">
        <v>1245</v>
      </c>
      <c r="J427" t="s">
        <v>77</v>
      </c>
      <c r="M427">
        <v>145</v>
      </c>
      <c r="P427" t="s">
        <v>78</v>
      </c>
      <c r="Q427" s="55">
        <v>139.09090909090909</v>
      </c>
      <c r="R427" s="32">
        <v>76.5</v>
      </c>
      <c r="S427" s="33">
        <v>0.33</v>
      </c>
      <c r="T427" s="34">
        <f t="shared" si="13"/>
        <v>114.17910447761196</v>
      </c>
      <c r="U427" s="34">
        <f t="shared" si="14"/>
        <v>115.60634328358211</v>
      </c>
      <c r="V427" t="s">
        <v>79</v>
      </c>
      <c r="W427" s="32">
        <v>15</v>
      </c>
      <c r="X427" s="32" t="s">
        <v>80</v>
      </c>
      <c r="AD427" s="1">
        <v>194917993026</v>
      </c>
      <c r="AN427">
        <v>30</v>
      </c>
      <c r="AO427" t="s">
        <v>81</v>
      </c>
    </row>
    <row r="428" spans="1:41" ht="90" x14ac:dyDescent="0.25">
      <c r="A428" s="2">
        <v>195017659973</v>
      </c>
      <c r="B428" t="s">
        <v>71</v>
      </c>
      <c r="C428" t="s">
        <v>72</v>
      </c>
      <c r="D428" t="s">
        <v>1303</v>
      </c>
      <c r="E428" t="s">
        <v>1304</v>
      </c>
      <c r="F428">
        <v>316210</v>
      </c>
      <c r="G428" s="35" t="s">
        <v>1305</v>
      </c>
      <c r="H428" s="31" t="s">
        <v>1306</v>
      </c>
      <c r="J428" t="s">
        <v>77</v>
      </c>
      <c r="M428">
        <v>145</v>
      </c>
      <c r="P428" t="s">
        <v>78</v>
      </c>
      <c r="Q428" s="55">
        <v>139.09090909090909</v>
      </c>
      <c r="R428" s="32">
        <v>76.5</v>
      </c>
      <c r="S428" s="33">
        <v>0.33</v>
      </c>
      <c r="T428" s="34">
        <f t="shared" si="13"/>
        <v>114.17910447761196</v>
      </c>
      <c r="U428" s="34">
        <f t="shared" si="14"/>
        <v>115.60634328358211</v>
      </c>
      <c r="V428" t="s">
        <v>79</v>
      </c>
      <c r="W428" s="32">
        <v>15</v>
      </c>
      <c r="X428" s="32" t="s">
        <v>80</v>
      </c>
      <c r="AD428" s="1">
        <v>195017659973</v>
      </c>
      <c r="AN428">
        <v>30</v>
      </c>
      <c r="AO428" t="s">
        <v>81</v>
      </c>
    </row>
    <row r="429" spans="1:41" ht="90" x14ac:dyDescent="0.25">
      <c r="A429" s="2">
        <v>195017659980</v>
      </c>
      <c r="B429" t="s">
        <v>71</v>
      </c>
      <c r="C429" t="s">
        <v>72</v>
      </c>
      <c r="D429" t="s">
        <v>1307</v>
      </c>
      <c r="E429" t="s">
        <v>1308</v>
      </c>
      <c r="F429">
        <v>316210</v>
      </c>
      <c r="G429" s="35" t="s">
        <v>1305</v>
      </c>
      <c r="H429" s="31" t="s">
        <v>1309</v>
      </c>
      <c r="J429" t="s">
        <v>77</v>
      </c>
      <c r="M429">
        <v>145</v>
      </c>
      <c r="P429" t="s">
        <v>78</v>
      </c>
      <c r="Q429" s="55">
        <v>139.09090909090909</v>
      </c>
      <c r="R429" s="32">
        <v>76.5</v>
      </c>
      <c r="S429" s="33">
        <v>0.33</v>
      </c>
      <c r="T429" s="34">
        <f t="shared" si="13"/>
        <v>114.17910447761196</v>
      </c>
      <c r="U429" s="34">
        <f t="shared" si="14"/>
        <v>115.60634328358211</v>
      </c>
      <c r="V429" t="s">
        <v>79</v>
      </c>
      <c r="W429" s="32">
        <v>15</v>
      </c>
      <c r="X429" s="32" t="s">
        <v>80</v>
      </c>
      <c r="AD429" s="1">
        <v>195017659980</v>
      </c>
      <c r="AN429">
        <v>30</v>
      </c>
      <c r="AO429" t="s">
        <v>81</v>
      </c>
    </row>
    <row r="430" spans="1:41" ht="90" x14ac:dyDescent="0.25">
      <c r="A430" s="2">
        <v>195017659997</v>
      </c>
      <c r="B430" t="s">
        <v>71</v>
      </c>
      <c r="C430" t="s">
        <v>72</v>
      </c>
      <c r="D430" t="s">
        <v>1310</v>
      </c>
      <c r="E430" t="s">
        <v>1311</v>
      </c>
      <c r="F430">
        <v>316210</v>
      </c>
      <c r="G430" s="35" t="s">
        <v>1305</v>
      </c>
      <c r="H430" s="31" t="s">
        <v>1312</v>
      </c>
      <c r="J430" t="s">
        <v>77</v>
      </c>
      <c r="M430">
        <v>145</v>
      </c>
      <c r="P430" t="s">
        <v>78</v>
      </c>
      <c r="Q430" s="55">
        <v>139.09090909090909</v>
      </c>
      <c r="R430" s="32">
        <v>76.5</v>
      </c>
      <c r="S430" s="33">
        <v>0.33</v>
      </c>
      <c r="T430" s="34">
        <f t="shared" si="13"/>
        <v>114.17910447761196</v>
      </c>
      <c r="U430" s="34">
        <f t="shared" si="14"/>
        <v>115.60634328358211</v>
      </c>
      <c r="V430" t="s">
        <v>79</v>
      </c>
      <c r="W430" s="32">
        <v>15</v>
      </c>
      <c r="X430" s="32" t="s">
        <v>80</v>
      </c>
      <c r="AD430" s="1">
        <v>195017659997</v>
      </c>
      <c r="AN430">
        <v>30</v>
      </c>
      <c r="AO430" t="s">
        <v>81</v>
      </c>
    </row>
    <row r="431" spans="1:41" ht="90" x14ac:dyDescent="0.25">
      <c r="A431" s="2">
        <v>195017685507</v>
      </c>
      <c r="B431" t="s">
        <v>71</v>
      </c>
      <c r="C431" t="s">
        <v>72</v>
      </c>
      <c r="D431" t="s">
        <v>1313</v>
      </c>
      <c r="E431" t="s">
        <v>1314</v>
      </c>
      <c r="F431">
        <v>316210</v>
      </c>
      <c r="G431" s="35" t="s">
        <v>1305</v>
      </c>
      <c r="H431" s="31" t="s">
        <v>1315</v>
      </c>
      <c r="J431" t="s">
        <v>77</v>
      </c>
      <c r="M431">
        <v>145</v>
      </c>
      <c r="P431" t="s">
        <v>78</v>
      </c>
      <c r="Q431" s="55">
        <v>139.09090909090909</v>
      </c>
      <c r="R431" s="32">
        <v>76.5</v>
      </c>
      <c r="S431" s="33">
        <v>0.33</v>
      </c>
      <c r="T431" s="34">
        <f t="shared" si="13"/>
        <v>114.17910447761196</v>
      </c>
      <c r="U431" s="34">
        <f t="shared" si="14"/>
        <v>115.60634328358211</v>
      </c>
      <c r="V431" t="s">
        <v>79</v>
      </c>
      <c r="W431" s="32">
        <v>15</v>
      </c>
      <c r="X431" s="32" t="s">
        <v>80</v>
      </c>
      <c r="AD431" s="1">
        <v>195017685507</v>
      </c>
      <c r="AN431">
        <v>30</v>
      </c>
      <c r="AO431" t="s">
        <v>81</v>
      </c>
    </row>
    <row r="432" spans="1:41" ht="90" x14ac:dyDescent="0.25">
      <c r="A432" s="2">
        <v>195017685514</v>
      </c>
      <c r="B432" t="s">
        <v>71</v>
      </c>
      <c r="C432" t="s">
        <v>72</v>
      </c>
      <c r="D432" t="s">
        <v>1316</v>
      </c>
      <c r="E432" t="s">
        <v>1317</v>
      </c>
      <c r="F432">
        <v>316210</v>
      </c>
      <c r="G432" s="35" t="s">
        <v>1305</v>
      </c>
      <c r="H432" s="31" t="s">
        <v>1318</v>
      </c>
      <c r="J432" t="s">
        <v>77</v>
      </c>
      <c r="M432">
        <v>145</v>
      </c>
      <c r="P432" t="s">
        <v>78</v>
      </c>
      <c r="Q432" s="55">
        <v>139.09090909090909</v>
      </c>
      <c r="R432" s="32">
        <v>76.5</v>
      </c>
      <c r="S432" s="33">
        <v>0.33</v>
      </c>
      <c r="T432" s="34">
        <f t="shared" si="13"/>
        <v>114.17910447761196</v>
      </c>
      <c r="U432" s="34">
        <f t="shared" si="14"/>
        <v>115.60634328358211</v>
      </c>
      <c r="V432" t="s">
        <v>79</v>
      </c>
      <c r="W432" s="32">
        <v>15</v>
      </c>
      <c r="X432" s="32" t="s">
        <v>80</v>
      </c>
      <c r="AD432" s="1">
        <v>195017685514</v>
      </c>
      <c r="AN432">
        <v>30</v>
      </c>
      <c r="AO432" t="s">
        <v>81</v>
      </c>
    </row>
    <row r="433" spans="1:41" ht="90" x14ac:dyDescent="0.25">
      <c r="A433" s="2">
        <v>195017685521</v>
      </c>
      <c r="B433" t="s">
        <v>71</v>
      </c>
      <c r="C433" t="s">
        <v>72</v>
      </c>
      <c r="D433" t="s">
        <v>1319</v>
      </c>
      <c r="E433" t="s">
        <v>1320</v>
      </c>
      <c r="F433">
        <v>316210</v>
      </c>
      <c r="G433" s="35" t="s">
        <v>1305</v>
      </c>
      <c r="H433" s="31" t="s">
        <v>1321</v>
      </c>
      <c r="J433" t="s">
        <v>77</v>
      </c>
      <c r="M433">
        <v>145</v>
      </c>
      <c r="P433" t="s">
        <v>78</v>
      </c>
      <c r="Q433" s="55">
        <v>139.09090909090909</v>
      </c>
      <c r="R433" s="32">
        <v>76.5</v>
      </c>
      <c r="S433" s="33">
        <v>0.33</v>
      </c>
      <c r="T433" s="34">
        <f t="shared" si="13"/>
        <v>114.17910447761196</v>
      </c>
      <c r="U433" s="34">
        <f t="shared" si="14"/>
        <v>115.60634328358211</v>
      </c>
      <c r="V433" t="s">
        <v>79</v>
      </c>
      <c r="W433" s="32">
        <v>15</v>
      </c>
      <c r="X433" s="32" t="s">
        <v>80</v>
      </c>
      <c r="AD433" s="1">
        <v>195017685521</v>
      </c>
      <c r="AN433">
        <v>30</v>
      </c>
      <c r="AO433" t="s">
        <v>81</v>
      </c>
    </row>
    <row r="434" spans="1:41" ht="90" x14ac:dyDescent="0.25">
      <c r="A434" s="2">
        <v>194917894156</v>
      </c>
      <c r="B434" t="s">
        <v>71</v>
      </c>
      <c r="C434" t="s">
        <v>72</v>
      </c>
      <c r="D434" t="s">
        <v>1322</v>
      </c>
      <c r="E434" t="s">
        <v>1323</v>
      </c>
      <c r="F434">
        <v>316210</v>
      </c>
      <c r="G434" s="35" t="s">
        <v>1305</v>
      </c>
      <c r="H434" s="31" t="s">
        <v>1324</v>
      </c>
      <c r="J434" t="s">
        <v>77</v>
      </c>
      <c r="M434">
        <v>145</v>
      </c>
      <c r="P434" t="s">
        <v>78</v>
      </c>
      <c r="Q434" s="55">
        <v>139.09090909090909</v>
      </c>
      <c r="R434" s="32">
        <v>76.5</v>
      </c>
      <c r="S434" s="33">
        <v>0.33</v>
      </c>
      <c r="T434" s="34">
        <f t="shared" si="13"/>
        <v>114.17910447761196</v>
      </c>
      <c r="U434" s="34">
        <f t="shared" si="14"/>
        <v>115.60634328358211</v>
      </c>
      <c r="V434" t="s">
        <v>79</v>
      </c>
      <c r="W434" s="32">
        <v>15</v>
      </c>
      <c r="X434" s="32" t="s">
        <v>80</v>
      </c>
      <c r="AD434" s="1">
        <v>194917894156</v>
      </c>
      <c r="AN434">
        <v>30</v>
      </c>
      <c r="AO434" t="s">
        <v>81</v>
      </c>
    </row>
    <row r="435" spans="1:41" ht="90" x14ac:dyDescent="0.25">
      <c r="A435" s="2">
        <v>194917993033</v>
      </c>
      <c r="B435" t="s">
        <v>71</v>
      </c>
      <c r="C435" t="s">
        <v>72</v>
      </c>
      <c r="D435" t="s">
        <v>1325</v>
      </c>
      <c r="E435" t="s">
        <v>1326</v>
      </c>
      <c r="F435">
        <v>316210</v>
      </c>
      <c r="G435" s="35" t="s">
        <v>1305</v>
      </c>
      <c r="H435" s="31" t="s">
        <v>1327</v>
      </c>
      <c r="J435" t="s">
        <v>77</v>
      </c>
      <c r="M435">
        <v>145</v>
      </c>
      <c r="P435" t="s">
        <v>78</v>
      </c>
      <c r="Q435" s="55">
        <v>139.09090909090909</v>
      </c>
      <c r="R435" s="32">
        <v>76.5</v>
      </c>
      <c r="S435" s="33">
        <v>0.33</v>
      </c>
      <c r="T435" s="34">
        <f t="shared" si="13"/>
        <v>114.17910447761196</v>
      </c>
      <c r="U435" s="34">
        <f t="shared" si="14"/>
        <v>115.60634328358211</v>
      </c>
      <c r="V435" t="s">
        <v>79</v>
      </c>
      <c r="W435" s="32">
        <v>15</v>
      </c>
      <c r="X435" s="32" t="s">
        <v>80</v>
      </c>
      <c r="AD435" s="1">
        <v>194917993033</v>
      </c>
      <c r="AN435">
        <v>30</v>
      </c>
      <c r="AO435" t="s">
        <v>81</v>
      </c>
    </row>
    <row r="436" spans="1:41" ht="90" x14ac:dyDescent="0.25">
      <c r="A436" s="2">
        <v>194917894163</v>
      </c>
      <c r="B436" t="s">
        <v>71</v>
      </c>
      <c r="C436" t="s">
        <v>72</v>
      </c>
      <c r="D436" t="s">
        <v>1328</v>
      </c>
      <c r="E436" t="s">
        <v>1329</v>
      </c>
      <c r="F436">
        <v>316210</v>
      </c>
      <c r="G436" s="35" t="s">
        <v>1305</v>
      </c>
      <c r="H436" s="31" t="s">
        <v>1330</v>
      </c>
      <c r="J436" t="s">
        <v>77</v>
      </c>
      <c r="M436">
        <v>145</v>
      </c>
      <c r="P436" t="s">
        <v>78</v>
      </c>
      <c r="Q436" s="55">
        <v>139.09090909090909</v>
      </c>
      <c r="R436" s="32">
        <v>76.5</v>
      </c>
      <c r="S436" s="33">
        <v>0.33</v>
      </c>
      <c r="T436" s="34">
        <f t="shared" si="13"/>
        <v>114.17910447761196</v>
      </c>
      <c r="U436" s="34">
        <f t="shared" si="14"/>
        <v>115.60634328358211</v>
      </c>
      <c r="V436" t="s">
        <v>79</v>
      </c>
      <c r="W436" s="32">
        <v>15</v>
      </c>
      <c r="X436" s="32" t="s">
        <v>80</v>
      </c>
      <c r="AD436" s="1">
        <v>194917894163</v>
      </c>
      <c r="AN436">
        <v>30</v>
      </c>
      <c r="AO436" t="s">
        <v>81</v>
      </c>
    </row>
    <row r="437" spans="1:41" ht="90" x14ac:dyDescent="0.25">
      <c r="A437" s="2">
        <v>194917993040</v>
      </c>
      <c r="B437" t="s">
        <v>71</v>
      </c>
      <c r="C437" t="s">
        <v>72</v>
      </c>
      <c r="D437" t="s">
        <v>1331</v>
      </c>
      <c r="E437" t="s">
        <v>1332</v>
      </c>
      <c r="F437">
        <v>316210</v>
      </c>
      <c r="G437" s="35" t="s">
        <v>1305</v>
      </c>
      <c r="H437" s="31" t="s">
        <v>1333</v>
      </c>
      <c r="J437" t="s">
        <v>77</v>
      </c>
      <c r="M437">
        <v>145</v>
      </c>
      <c r="P437" t="s">
        <v>78</v>
      </c>
      <c r="Q437" s="55">
        <v>139.09090909090909</v>
      </c>
      <c r="R437" s="32">
        <v>76.5</v>
      </c>
      <c r="S437" s="33">
        <v>0.33</v>
      </c>
      <c r="T437" s="34">
        <f t="shared" si="13"/>
        <v>114.17910447761196</v>
      </c>
      <c r="U437" s="34">
        <f t="shared" si="14"/>
        <v>115.60634328358211</v>
      </c>
      <c r="V437" t="s">
        <v>79</v>
      </c>
      <c r="W437" s="32">
        <v>15</v>
      </c>
      <c r="X437" s="32" t="s">
        <v>80</v>
      </c>
      <c r="AD437" s="1">
        <v>194917993040</v>
      </c>
      <c r="AN437">
        <v>30</v>
      </c>
      <c r="AO437" t="s">
        <v>81</v>
      </c>
    </row>
    <row r="438" spans="1:41" ht="90" x14ac:dyDescent="0.25">
      <c r="A438" s="2">
        <v>194917894170</v>
      </c>
      <c r="B438" t="s">
        <v>71</v>
      </c>
      <c r="C438" t="s">
        <v>72</v>
      </c>
      <c r="D438" t="s">
        <v>1334</v>
      </c>
      <c r="E438" t="s">
        <v>1335</v>
      </c>
      <c r="F438">
        <v>316210</v>
      </c>
      <c r="G438" s="35" t="s">
        <v>1305</v>
      </c>
      <c r="H438" s="31" t="s">
        <v>1336</v>
      </c>
      <c r="J438" t="s">
        <v>77</v>
      </c>
      <c r="M438">
        <v>145</v>
      </c>
      <c r="P438" t="s">
        <v>78</v>
      </c>
      <c r="Q438" s="55">
        <v>139.09090909090909</v>
      </c>
      <c r="R438" s="32">
        <v>76.5</v>
      </c>
      <c r="S438" s="33">
        <v>0.33</v>
      </c>
      <c r="T438" s="34">
        <f t="shared" si="13"/>
        <v>114.17910447761196</v>
      </c>
      <c r="U438" s="34">
        <f t="shared" si="14"/>
        <v>115.60634328358211</v>
      </c>
      <c r="V438" t="s">
        <v>79</v>
      </c>
      <c r="W438" s="32">
        <v>15</v>
      </c>
      <c r="X438" s="32" t="s">
        <v>80</v>
      </c>
      <c r="AD438" s="1">
        <v>194917894170</v>
      </c>
      <c r="AN438">
        <v>30</v>
      </c>
      <c r="AO438" t="s">
        <v>81</v>
      </c>
    </row>
    <row r="439" spans="1:41" ht="90" x14ac:dyDescent="0.25">
      <c r="A439" s="2">
        <v>194917993057</v>
      </c>
      <c r="B439" t="s">
        <v>71</v>
      </c>
      <c r="C439" t="s">
        <v>72</v>
      </c>
      <c r="D439" t="s">
        <v>1337</v>
      </c>
      <c r="E439" t="s">
        <v>1338</v>
      </c>
      <c r="F439">
        <v>316210</v>
      </c>
      <c r="G439" s="35" t="s">
        <v>1305</v>
      </c>
      <c r="H439" s="31" t="s">
        <v>1339</v>
      </c>
      <c r="J439" t="s">
        <v>77</v>
      </c>
      <c r="M439">
        <v>145</v>
      </c>
      <c r="P439" t="s">
        <v>78</v>
      </c>
      <c r="Q439" s="55">
        <v>139.09090909090909</v>
      </c>
      <c r="R439" s="32">
        <v>76.5</v>
      </c>
      <c r="S439" s="33">
        <v>0.33</v>
      </c>
      <c r="T439" s="34">
        <f t="shared" si="13"/>
        <v>114.17910447761196</v>
      </c>
      <c r="U439" s="34">
        <f t="shared" si="14"/>
        <v>115.60634328358211</v>
      </c>
      <c r="V439" t="s">
        <v>79</v>
      </c>
      <c r="W439" s="32">
        <v>15</v>
      </c>
      <c r="X439" s="32" t="s">
        <v>80</v>
      </c>
      <c r="AD439" s="1">
        <v>194917993057</v>
      </c>
      <c r="AN439">
        <v>30</v>
      </c>
      <c r="AO439" t="s">
        <v>81</v>
      </c>
    </row>
    <row r="440" spans="1:41" ht="90" x14ac:dyDescent="0.25">
      <c r="A440" s="2">
        <v>194917894187</v>
      </c>
      <c r="B440" t="s">
        <v>71</v>
      </c>
      <c r="C440" t="s">
        <v>72</v>
      </c>
      <c r="D440" t="s">
        <v>1340</v>
      </c>
      <c r="E440" t="s">
        <v>1341</v>
      </c>
      <c r="F440">
        <v>316210</v>
      </c>
      <c r="G440" s="35" t="s">
        <v>1305</v>
      </c>
      <c r="H440" s="31" t="s">
        <v>1342</v>
      </c>
      <c r="J440" t="s">
        <v>77</v>
      </c>
      <c r="M440">
        <v>145</v>
      </c>
      <c r="P440" t="s">
        <v>78</v>
      </c>
      <c r="Q440" s="55">
        <v>139.09090909090909</v>
      </c>
      <c r="R440" s="32">
        <v>76.5</v>
      </c>
      <c r="S440" s="33">
        <v>0.33</v>
      </c>
      <c r="T440" s="34">
        <f t="shared" si="13"/>
        <v>114.17910447761196</v>
      </c>
      <c r="U440" s="34">
        <f t="shared" si="14"/>
        <v>115.60634328358211</v>
      </c>
      <c r="V440" t="s">
        <v>79</v>
      </c>
      <c r="W440" s="32">
        <v>15</v>
      </c>
      <c r="X440" s="32" t="s">
        <v>80</v>
      </c>
      <c r="AD440" s="1">
        <v>194917894187</v>
      </c>
      <c r="AN440">
        <v>30</v>
      </c>
      <c r="AO440" t="s">
        <v>81</v>
      </c>
    </row>
    <row r="441" spans="1:41" ht="90" x14ac:dyDescent="0.25">
      <c r="A441" s="2">
        <v>194917993064</v>
      </c>
      <c r="B441" t="s">
        <v>71</v>
      </c>
      <c r="C441" t="s">
        <v>72</v>
      </c>
      <c r="D441" t="s">
        <v>1343</v>
      </c>
      <c r="E441" t="s">
        <v>1344</v>
      </c>
      <c r="F441">
        <v>316210</v>
      </c>
      <c r="G441" s="35" t="s">
        <v>1305</v>
      </c>
      <c r="H441" s="31" t="s">
        <v>1345</v>
      </c>
      <c r="J441" t="s">
        <v>77</v>
      </c>
      <c r="M441">
        <v>145</v>
      </c>
      <c r="P441" t="s">
        <v>78</v>
      </c>
      <c r="Q441" s="55">
        <v>139.09090909090909</v>
      </c>
      <c r="R441" s="32">
        <v>76.5</v>
      </c>
      <c r="S441" s="33">
        <v>0.33</v>
      </c>
      <c r="T441" s="34">
        <f t="shared" si="13"/>
        <v>114.17910447761196</v>
      </c>
      <c r="U441" s="34">
        <f t="shared" si="14"/>
        <v>115.60634328358211</v>
      </c>
      <c r="V441" t="s">
        <v>79</v>
      </c>
      <c r="W441" s="32">
        <v>15</v>
      </c>
      <c r="X441" s="32" t="s">
        <v>80</v>
      </c>
      <c r="AD441" s="1">
        <v>194917993064</v>
      </c>
      <c r="AN441">
        <v>30</v>
      </c>
      <c r="AO441" t="s">
        <v>81</v>
      </c>
    </row>
    <row r="442" spans="1:41" ht="90" x14ac:dyDescent="0.25">
      <c r="A442" s="2">
        <v>194917894194</v>
      </c>
      <c r="B442" t="s">
        <v>71</v>
      </c>
      <c r="C442" t="s">
        <v>72</v>
      </c>
      <c r="D442" t="s">
        <v>1346</v>
      </c>
      <c r="E442" t="s">
        <v>1347</v>
      </c>
      <c r="F442">
        <v>316210</v>
      </c>
      <c r="G442" s="35" t="s">
        <v>1305</v>
      </c>
      <c r="H442" s="31" t="s">
        <v>1348</v>
      </c>
      <c r="J442" t="s">
        <v>77</v>
      </c>
      <c r="M442">
        <v>145</v>
      </c>
      <c r="P442" t="s">
        <v>78</v>
      </c>
      <c r="Q442" s="55">
        <v>139.09090909090909</v>
      </c>
      <c r="R442" s="32">
        <v>76.5</v>
      </c>
      <c r="S442" s="33">
        <v>0.33</v>
      </c>
      <c r="T442" s="34">
        <f t="shared" si="13"/>
        <v>114.17910447761196</v>
      </c>
      <c r="U442" s="34">
        <f t="shared" si="14"/>
        <v>115.60634328358211</v>
      </c>
      <c r="V442" t="s">
        <v>79</v>
      </c>
      <c r="W442" s="32">
        <v>15</v>
      </c>
      <c r="X442" s="32" t="s">
        <v>80</v>
      </c>
      <c r="AD442" s="1">
        <v>194917894194</v>
      </c>
      <c r="AN442">
        <v>30</v>
      </c>
      <c r="AO442" t="s">
        <v>81</v>
      </c>
    </row>
    <row r="443" spans="1:41" ht="90" x14ac:dyDescent="0.25">
      <c r="A443" s="2">
        <v>194917993071</v>
      </c>
      <c r="B443" t="s">
        <v>71</v>
      </c>
      <c r="C443" t="s">
        <v>72</v>
      </c>
      <c r="D443" t="s">
        <v>1349</v>
      </c>
      <c r="E443" t="s">
        <v>1350</v>
      </c>
      <c r="F443">
        <v>316210</v>
      </c>
      <c r="G443" s="35" t="s">
        <v>1305</v>
      </c>
      <c r="H443" s="31" t="s">
        <v>1351</v>
      </c>
      <c r="J443" t="s">
        <v>77</v>
      </c>
      <c r="M443">
        <v>145</v>
      </c>
      <c r="P443" t="s">
        <v>78</v>
      </c>
      <c r="Q443" s="55">
        <v>139.09090909090909</v>
      </c>
      <c r="R443" s="32">
        <v>76.5</v>
      </c>
      <c r="S443" s="33">
        <v>0.33</v>
      </c>
      <c r="T443" s="34">
        <f t="shared" si="13"/>
        <v>114.17910447761196</v>
      </c>
      <c r="U443" s="34">
        <f t="shared" si="14"/>
        <v>115.60634328358211</v>
      </c>
      <c r="V443" t="s">
        <v>79</v>
      </c>
      <c r="W443" s="32">
        <v>15</v>
      </c>
      <c r="X443" s="32" t="s">
        <v>80</v>
      </c>
      <c r="AD443" s="1">
        <v>194917993071</v>
      </c>
      <c r="AN443">
        <v>30</v>
      </c>
      <c r="AO443" t="s">
        <v>81</v>
      </c>
    </row>
    <row r="444" spans="1:41" ht="90" x14ac:dyDescent="0.25">
      <c r="A444" s="2">
        <v>194917894200</v>
      </c>
      <c r="B444" t="s">
        <v>71</v>
      </c>
      <c r="C444" t="s">
        <v>72</v>
      </c>
      <c r="D444" t="s">
        <v>1352</v>
      </c>
      <c r="E444" t="s">
        <v>1353</v>
      </c>
      <c r="F444">
        <v>316210</v>
      </c>
      <c r="G444" s="35" t="s">
        <v>1305</v>
      </c>
      <c r="H444" s="31" t="s">
        <v>1354</v>
      </c>
      <c r="J444" t="s">
        <v>77</v>
      </c>
      <c r="M444">
        <v>145</v>
      </c>
      <c r="P444" t="s">
        <v>78</v>
      </c>
      <c r="Q444" s="55">
        <v>139.09090909090909</v>
      </c>
      <c r="R444" s="32">
        <v>76.5</v>
      </c>
      <c r="S444" s="33">
        <v>0.33</v>
      </c>
      <c r="T444" s="34">
        <f t="shared" si="13"/>
        <v>114.17910447761196</v>
      </c>
      <c r="U444" s="34">
        <f t="shared" si="14"/>
        <v>115.60634328358211</v>
      </c>
      <c r="V444" t="s">
        <v>79</v>
      </c>
      <c r="W444" s="32">
        <v>15</v>
      </c>
      <c r="X444" s="32" t="s">
        <v>80</v>
      </c>
      <c r="AD444" s="1">
        <v>194917894200</v>
      </c>
      <c r="AN444">
        <v>30</v>
      </c>
      <c r="AO444" t="s">
        <v>81</v>
      </c>
    </row>
    <row r="445" spans="1:41" ht="90" x14ac:dyDescent="0.25">
      <c r="A445" s="2">
        <v>194917993088</v>
      </c>
      <c r="B445" t="s">
        <v>71</v>
      </c>
      <c r="C445" t="s">
        <v>72</v>
      </c>
      <c r="D445" t="s">
        <v>1355</v>
      </c>
      <c r="E445" t="s">
        <v>1356</v>
      </c>
      <c r="F445">
        <v>316210</v>
      </c>
      <c r="G445" s="35" t="s">
        <v>1305</v>
      </c>
      <c r="H445" s="31" t="s">
        <v>1357</v>
      </c>
      <c r="J445" t="s">
        <v>77</v>
      </c>
      <c r="M445">
        <v>145</v>
      </c>
      <c r="P445" t="s">
        <v>78</v>
      </c>
      <c r="Q445" s="55">
        <v>139.09090909090909</v>
      </c>
      <c r="R445" s="32">
        <v>76.5</v>
      </c>
      <c r="S445" s="33">
        <v>0.33</v>
      </c>
      <c r="T445" s="34">
        <f t="shared" si="13"/>
        <v>114.17910447761196</v>
      </c>
      <c r="U445" s="34">
        <f t="shared" si="14"/>
        <v>115.60634328358211</v>
      </c>
      <c r="V445" t="s">
        <v>79</v>
      </c>
      <c r="W445" s="32">
        <v>15</v>
      </c>
      <c r="X445" s="32" t="s">
        <v>80</v>
      </c>
      <c r="AD445" s="1">
        <v>194917993088</v>
      </c>
      <c r="AN445">
        <v>30</v>
      </c>
      <c r="AO445" t="s">
        <v>81</v>
      </c>
    </row>
    <row r="446" spans="1:41" ht="90" x14ac:dyDescent="0.25">
      <c r="A446" s="2">
        <v>194917894217</v>
      </c>
      <c r="B446" t="s">
        <v>71</v>
      </c>
      <c r="C446" t="s">
        <v>72</v>
      </c>
      <c r="D446" t="s">
        <v>1358</v>
      </c>
      <c r="E446" t="s">
        <v>1359</v>
      </c>
      <c r="F446">
        <v>316210</v>
      </c>
      <c r="G446" s="35" t="s">
        <v>1305</v>
      </c>
      <c r="H446" s="31" t="s">
        <v>1360</v>
      </c>
      <c r="J446" t="s">
        <v>77</v>
      </c>
      <c r="M446">
        <v>145</v>
      </c>
      <c r="P446" t="s">
        <v>78</v>
      </c>
      <c r="Q446" s="55">
        <v>139.09090909090909</v>
      </c>
      <c r="R446" s="32">
        <v>76.5</v>
      </c>
      <c r="S446" s="33">
        <v>0.33</v>
      </c>
      <c r="T446" s="34">
        <f t="shared" si="13"/>
        <v>114.17910447761196</v>
      </c>
      <c r="U446" s="34">
        <f t="shared" si="14"/>
        <v>115.60634328358211</v>
      </c>
      <c r="V446" t="s">
        <v>79</v>
      </c>
      <c r="W446" s="32">
        <v>15</v>
      </c>
      <c r="X446" s="32" t="s">
        <v>80</v>
      </c>
      <c r="AD446" s="1">
        <v>194917894217</v>
      </c>
      <c r="AN446">
        <v>30</v>
      </c>
      <c r="AO446" t="s">
        <v>81</v>
      </c>
    </row>
    <row r="447" spans="1:41" ht="90" x14ac:dyDescent="0.25">
      <c r="A447" s="2">
        <v>194917993095</v>
      </c>
      <c r="B447" t="s">
        <v>71</v>
      </c>
      <c r="C447" t="s">
        <v>72</v>
      </c>
      <c r="D447" t="s">
        <v>1361</v>
      </c>
      <c r="E447" t="s">
        <v>1362</v>
      </c>
      <c r="F447">
        <v>316210</v>
      </c>
      <c r="G447" s="35" t="s">
        <v>1305</v>
      </c>
      <c r="H447" s="31" t="s">
        <v>1363</v>
      </c>
      <c r="J447" t="s">
        <v>77</v>
      </c>
      <c r="M447">
        <v>145</v>
      </c>
      <c r="P447" t="s">
        <v>78</v>
      </c>
      <c r="Q447" s="55">
        <v>139.09090909090909</v>
      </c>
      <c r="R447" s="32">
        <v>76.5</v>
      </c>
      <c r="S447" s="33">
        <v>0.33</v>
      </c>
      <c r="T447" s="34">
        <f t="shared" si="13"/>
        <v>114.17910447761196</v>
      </c>
      <c r="U447" s="34">
        <f t="shared" si="14"/>
        <v>115.60634328358211</v>
      </c>
      <c r="V447" t="s">
        <v>79</v>
      </c>
      <c r="W447" s="32">
        <v>15</v>
      </c>
      <c r="X447" s="32" t="s">
        <v>80</v>
      </c>
      <c r="AD447" s="1">
        <v>194917993095</v>
      </c>
      <c r="AN447">
        <v>30</v>
      </c>
      <c r="AO447" t="s">
        <v>81</v>
      </c>
    </row>
    <row r="448" spans="1:41" ht="90" x14ac:dyDescent="0.25">
      <c r="A448" s="2">
        <v>194917894224</v>
      </c>
      <c r="B448" t="s">
        <v>71</v>
      </c>
      <c r="C448" t="s">
        <v>72</v>
      </c>
      <c r="D448" t="s">
        <v>1364</v>
      </c>
      <c r="E448" t="s">
        <v>1365</v>
      </c>
      <c r="F448">
        <v>316210</v>
      </c>
      <c r="G448" s="35" t="s">
        <v>1305</v>
      </c>
      <c r="H448" s="31" t="s">
        <v>1366</v>
      </c>
      <c r="J448" t="s">
        <v>77</v>
      </c>
      <c r="M448">
        <v>145</v>
      </c>
      <c r="P448" t="s">
        <v>78</v>
      </c>
      <c r="Q448" s="55">
        <v>139.09090909090909</v>
      </c>
      <c r="R448" s="32">
        <v>76.5</v>
      </c>
      <c r="S448" s="33">
        <v>0.33</v>
      </c>
      <c r="T448" s="34">
        <f t="shared" si="13"/>
        <v>114.17910447761196</v>
      </c>
      <c r="U448" s="34">
        <f t="shared" si="14"/>
        <v>115.60634328358211</v>
      </c>
      <c r="V448" t="s">
        <v>79</v>
      </c>
      <c r="W448" s="32">
        <v>15</v>
      </c>
      <c r="X448" s="32" t="s">
        <v>80</v>
      </c>
      <c r="AD448" s="1">
        <v>194917894224</v>
      </c>
      <c r="AN448">
        <v>30</v>
      </c>
      <c r="AO448" t="s">
        <v>81</v>
      </c>
    </row>
    <row r="449" spans="1:41" ht="90" x14ac:dyDescent="0.25">
      <c r="A449" s="2">
        <v>194917993101</v>
      </c>
      <c r="B449" t="s">
        <v>71</v>
      </c>
      <c r="C449" t="s">
        <v>72</v>
      </c>
      <c r="D449" t="s">
        <v>1367</v>
      </c>
      <c r="E449" t="s">
        <v>1368</v>
      </c>
      <c r="F449">
        <v>316210</v>
      </c>
      <c r="G449" s="35" t="s">
        <v>1305</v>
      </c>
      <c r="H449" s="31" t="s">
        <v>1369</v>
      </c>
      <c r="J449" t="s">
        <v>77</v>
      </c>
      <c r="M449">
        <v>145</v>
      </c>
      <c r="P449" t="s">
        <v>78</v>
      </c>
      <c r="Q449" s="55">
        <v>139.09090909090909</v>
      </c>
      <c r="R449" s="32">
        <v>76.5</v>
      </c>
      <c r="S449" s="33">
        <v>0.33</v>
      </c>
      <c r="T449" s="34">
        <f t="shared" si="13"/>
        <v>114.17910447761196</v>
      </c>
      <c r="U449" s="34">
        <f t="shared" si="14"/>
        <v>115.60634328358211</v>
      </c>
      <c r="V449" t="s">
        <v>79</v>
      </c>
      <c r="W449" s="32">
        <v>15</v>
      </c>
      <c r="X449" s="32" t="s">
        <v>80</v>
      </c>
      <c r="AD449" s="1">
        <v>194917993101</v>
      </c>
      <c r="AN449">
        <v>30</v>
      </c>
      <c r="AO449" t="s">
        <v>81</v>
      </c>
    </row>
    <row r="450" spans="1:41" ht="90" x14ac:dyDescent="0.25">
      <c r="A450" s="2">
        <v>194917894231</v>
      </c>
      <c r="B450" t="s">
        <v>71</v>
      </c>
      <c r="C450" t="s">
        <v>72</v>
      </c>
      <c r="D450" t="s">
        <v>1370</v>
      </c>
      <c r="E450" t="s">
        <v>1371</v>
      </c>
      <c r="F450">
        <v>316210</v>
      </c>
      <c r="G450" s="35" t="s">
        <v>1305</v>
      </c>
      <c r="H450" s="31" t="s">
        <v>1372</v>
      </c>
      <c r="J450" t="s">
        <v>77</v>
      </c>
      <c r="M450">
        <v>145</v>
      </c>
      <c r="P450" t="s">
        <v>78</v>
      </c>
      <c r="Q450" s="55">
        <v>139.09090909090909</v>
      </c>
      <c r="R450" s="32">
        <v>76.5</v>
      </c>
      <c r="S450" s="33">
        <v>0.33</v>
      </c>
      <c r="T450" s="34">
        <f t="shared" si="13"/>
        <v>114.17910447761196</v>
      </c>
      <c r="U450" s="34">
        <f t="shared" si="14"/>
        <v>115.60634328358211</v>
      </c>
      <c r="V450" t="s">
        <v>79</v>
      </c>
      <c r="W450" s="32">
        <v>15</v>
      </c>
      <c r="X450" s="32" t="s">
        <v>80</v>
      </c>
      <c r="AD450" s="1">
        <v>194917894231</v>
      </c>
      <c r="AN450">
        <v>30</v>
      </c>
      <c r="AO450" t="s">
        <v>81</v>
      </c>
    </row>
    <row r="451" spans="1:41" ht="90" x14ac:dyDescent="0.25">
      <c r="A451" s="2">
        <v>194917993118</v>
      </c>
      <c r="B451" t="s">
        <v>71</v>
      </c>
      <c r="C451" t="s">
        <v>72</v>
      </c>
      <c r="D451" t="s">
        <v>1373</v>
      </c>
      <c r="E451" t="s">
        <v>1374</v>
      </c>
      <c r="F451">
        <v>316210</v>
      </c>
      <c r="G451" s="35" t="s">
        <v>1305</v>
      </c>
      <c r="H451" s="31" t="s">
        <v>1375</v>
      </c>
      <c r="J451" t="s">
        <v>77</v>
      </c>
      <c r="M451">
        <v>145</v>
      </c>
      <c r="P451" t="s">
        <v>78</v>
      </c>
      <c r="Q451" s="55">
        <v>139.09090909090909</v>
      </c>
      <c r="R451" s="32">
        <v>76.5</v>
      </c>
      <c r="S451" s="33">
        <v>0.33</v>
      </c>
      <c r="T451" s="34">
        <f t="shared" si="13"/>
        <v>114.17910447761196</v>
      </c>
      <c r="U451" s="34">
        <f t="shared" si="14"/>
        <v>115.60634328358211</v>
      </c>
      <c r="V451" t="s">
        <v>79</v>
      </c>
      <c r="W451" s="32">
        <v>15</v>
      </c>
      <c r="X451" s="32" t="s">
        <v>80</v>
      </c>
      <c r="AD451" s="1">
        <v>194917993118</v>
      </c>
      <c r="AN451">
        <v>30</v>
      </c>
      <c r="AO451" t="s">
        <v>81</v>
      </c>
    </row>
    <row r="452" spans="1:41" ht="90" x14ac:dyDescent="0.25">
      <c r="A452" s="2">
        <v>194917894248</v>
      </c>
      <c r="B452" t="s">
        <v>71</v>
      </c>
      <c r="C452" t="s">
        <v>72</v>
      </c>
      <c r="D452" t="s">
        <v>1376</v>
      </c>
      <c r="E452" t="s">
        <v>1377</v>
      </c>
      <c r="F452">
        <v>316210</v>
      </c>
      <c r="G452" s="35" t="s">
        <v>1305</v>
      </c>
      <c r="H452" s="31" t="s">
        <v>1378</v>
      </c>
      <c r="J452" t="s">
        <v>77</v>
      </c>
      <c r="M452">
        <v>145</v>
      </c>
      <c r="P452" t="s">
        <v>78</v>
      </c>
      <c r="Q452" s="55">
        <v>139.09090909090909</v>
      </c>
      <c r="R452" s="32">
        <v>76.5</v>
      </c>
      <c r="S452" s="33">
        <v>0.33</v>
      </c>
      <c r="T452" s="34">
        <f t="shared" ref="T452:T515" si="15">R452/(1-S452)</f>
        <v>114.17910447761196</v>
      </c>
      <c r="U452" s="34">
        <f t="shared" ref="U452:U515" si="16">T452*(1+1.25%)</f>
        <v>115.60634328358211</v>
      </c>
      <c r="V452" t="s">
        <v>79</v>
      </c>
      <c r="W452" s="32">
        <v>15</v>
      </c>
      <c r="X452" s="32" t="s">
        <v>80</v>
      </c>
      <c r="AD452" s="1">
        <v>194917894248</v>
      </c>
      <c r="AN452">
        <v>30</v>
      </c>
      <c r="AO452" t="s">
        <v>81</v>
      </c>
    </row>
    <row r="453" spans="1:41" ht="90" x14ac:dyDescent="0.25">
      <c r="A453" s="2">
        <v>194917993125</v>
      </c>
      <c r="B453" t="s">
        <v>71</v>
      </c>
      <c r="C453" t="s">
        <v>72</v>
      </c>
      <c r="D453" t="s">
        <v>1379</v>
      </c>
      <c r="E453" t="s">
        <v>1380</v>
      </c>
      <c r="F453">
        <v>316210</v>
      </c>
      <c r="G453" s="35" t="s">
        <v>1305</v>
      </c>
      <c r="H453" s="31" t="s">
        <v>1381</v>
      </c>
      <c r="J453" t="s">
        <v>77</v>
      </c>
      <c r="M453">
        <v>145</v>
      </c>
      <c r="P453" t="s">
        <v>78</v>
      </c>
      <c r="Q453" s="55">
        <v>139.09090909090909</v>
      </c>
      <c r="R453" s="32">
        <v>76.5</v>
      </c>
      <c r="S453" s="33">
        <v>0.33</v>
      </c>
      <c r="T453" s="34">
        <f t="shared" si="15"/>
        <v>114.17910447761196</v>
      </c>
      <c r="U453" s="34">
        <f t="shared" si="16"/>
        <v>115.60634328358211</v>
      </c>
      <c r="V453" t="s">
        <v>79</v>
      </c>
      <c r="W453" s="32">
        <v>15</v>
      </c>
      <c r="X453" s="32" t="s">
        <v>80</v>
      </c>
      <c r="AD453" s="1">
        <v>194917993125</v>
      </c>
      <c r="AN453">
        <v>30</v>
      </c>
      <c r="AO453" t="s">
        <v>81</v>
      </c>
    </row>
    <row r="454" spans="1:41" ht="90" x14ac:dyDescent="0.25">
      <c r="A454" s="2">
        <v>194917894255</v>
      </c>
      <c r="B454" t="s">
        <v>71</v>
      </c>
      <c r="C454" t="s">
        <v>72</v>
      </c>
      <c r="D454" t="s">
        <v>1382</v>
      </c>
      <c r="E454" t="s">
        <v>1383</v>
      </c>
      <c r="F454">
        <v>316210</v>
      </c>
      <c r="G454" s="35" t="s">
        <v>1305</v>
      </c>
      <c r="H454" s="31" t="s">
        <v>1384</v>
      </c>
      <c r="J454" t="s">
        <v>77</v>
      </c>
      <c r="M454">
        <v>145</v>
      </c>
      <c r="P454" t="s">
        <v>78</v>
      </c>
      <c r="Q454" s="55">
        <v>139.09090909090909</v>
      </c>
      <c r="R454" s="32">
        <v>76.5</v>
      </c>
      <c r="S454" s="33">
        <v>0.33</v>
      </c>
      <c r="T454" s="34">
        <f t="shared" si="15"/>
        <v>114.17910447761196</v>
      </c>
      <c r="U454" s="34">
        <f t="shared" si="16"/>
        <v>115.60634328358211</v>
      </c>
      <c r="V454" t="s">
        <v>79</v>
      </c>
      <c r="W454" s="32">
        <v>15</v>
      </c>
      <c r="X454" s="32" t="s">
        <v>80</v>
      </c>
      <c r="AD454" s="1">
        <v>194917894255</v>
      </c>
      <c r="AN454">
        <v>30</v>
      </c>
      <c r="AO454" t="s">
        <v>81</v>
      </c>
    </row>
    <row r="455" spans="1:41" ht="90" x14ac:dyDescent="0.25">
      <c r="A455" s="2">
        <v>194917993132</v>
      </c>
      <c r="B455" t="s">
        <v>71</v>
      </c>
      <c r="C455" t="s">
        <v>72</v>
      </c>
      <c r="D455" t="s">
        <v>1385</v>
      </c>
      <c r="E455" t="s">
        <v>1386</v>
      </c>
      <c r="F455">
        <v>316210</v>
      </c>
      <c r="G455" s="35" t="s">
        <v>1305</v>
      </c>
      <c r="H455" s="31" t="s">
        <v>1387</v>
      </c>
      <c r="J455" t="s">
        <v>77</v>
      </c>
      <c r="M455">
        <v>145</v>
      </c>
      <c r="P455" t="s">
        <v>78</v>
      </c>
      <c r="Q455" s="55">
        <v>139.09090909090909</v>
      </c>
      <c r="R455" s="32">
        <v>76.5</v>
      </c>
      <c r="S455" s="33">
        <v>0.33</v>
      </c>
      <c r="T455" s="34">
        <f t="shared" si="15"/>
        <v>114.17910447761196</v>
      </c>
      <c r="U455" s="34">
        <f t="shared" si="16"/>
        <v>115.60634328358211</v>
      </c>
      <c r="V455" t="s">
        <v>79</v>
      </c>
      <c r="W455" s="32">
        <v>15</v>
      </c>
      <c r="X455" s="32" t="s">
        <v>80</v>
      </c>
      <c r="AD455" s="1">
        <v>194917993132</v>
      </c>
      <c r="AN455">
        <v>30</v>
      </c>
      <c r="AO455" t="s">
        <v>81</v>
      </c>
    </row>
    <row r="456" spans="1:41" ht="90" x14ac:dyDescent="0.25">
      <c r="A456" s="2">
        <v>194917894262</v>
      </c>
      <c r="B456" t="s">
        <v>71</v>
      </c>
      <c r="C456" t="s">
        <v>72</v>
      </c>
      <c r="D456" t="s">
        <v>1388</v>
      </c>
      <c r="E456" t="s">
        <v>1389</v>
      </c>
      <c r="F456">
        <v>316210</v>
      </c>
      <c r="G456" s="35" t="s">
        <v>1305</v>
      </c>
      <c r="H456" s="31" t="s">
        <v>1390</v>
      </c>
      <c r="J456" t="s">
        <v>77</v>
      </c>
      <c r="M456">
        <v>145</v>
      </c>
      <c r="P456" t="s">
        <v>78</v>
      </c>
      <c r="Q456" s="55">
        <v>139.09090909090909</v>
      </c>
      <c r="R456" s="32">
        <v>76.5</v>
      </c>
      <c r="S456" s="33">
        <v>0.33</v>
      </c>
      <c r="T456" s="34">
        <f t="shared" si="15"/>
        <v>114.17910447761196</v>
      </c>
      <c r="U456" s="34">
        <f t="shared" si="16"/>
        <v>115.60634328358211</v>
      </c>
      <c r="V456" t="s">
        <v>79</v>
      </c>
      <c r="W456" s="32">
        <v>15</v>
      </c>
      <c r="X456" s="32" t="s">
        <v>80</v>
      </c>
      <c r="AD456" s="1">
        <v>194917894262</v>
      </c>
      <c r="AN456">
        <v>30</v>
      </c>
      <c r="AO456" t="s">
        <v>81</v>
      </c>
    </row>
    <row r="457" spans="1:41" ht="90" x14ac:dyDescent="0.25">
      <c r="A457" s="2">
        <v>194917993149</v>
      </c>
      <c r="B457" t="s">
        <v>71</v>
      </c>
      <c r="C457" t="s">
        <v>72</v>
      </c>
      <c r="D457" t="s">
        <v>1391</v>
      </c>
      <c r="E457" t="s">
        <v>1392</v>
      </c>
      <c r="F457">
        <v>316210</v>
      </c>
      <c r="G457" s="35" t="s">
        <v>1305</v>
      </c>
      <c r="H457" s="31" t="s">
        <v>1393</v>
      </c>
      <c r="J457" t="s">
        <v>77</v>
      </c>
      <c r="M457">
        <v>145</v>
      </c>
      <c r="P457" t="s">
        <v>78</v>
      </c>
      <c r="Q457" s="55">
        <v>139.09090909090909</v>
      </c>
      <c r="R457" s="32">
        <v>76.5</v>
      </c>
      <c r="S457" s="33">
        <v>0.33</v>
      </c>
      <c r="T457" s="34">
        <f t="shared" si="15"/>
        <v>114.17910447761196</v>
      </c>
      <c r="U457" s="34">
        <f t="shared" si="16"/>
        <v>115.60634328358211</v>
      </c>
      <c r="V457" t="s">
        <v>79</v>
      </c>
      <c r="W457" s="32">
        <v>15</v>
      </c>
      <c r="X457" s="32" t="s">
        <v>80</v>
      </c>
      <c r="AD457" s="1">
        <v>194917993149</v>
      </c>
      <c r="AN457">
        <v>30</v>
      </c>
      <c r="AO457" t="s">
        <v>81</v>
      </c>
    </row>
    <row r="458" spans="1:41" ht="90" x14ac:dyDescent="0.25">
      <c r="A458" s="2">
        <v>194917894279</v>
      </c>
      <c r="B458" t="s">
        <v>71</v>
      </c>
      <c r="C458" t="s">
        <v>72</v>
      </c>
      <c r="D458" t="s">
        <v>1394</v>
      </c>
      <c r="E458" t="s">
        <v>1395</v>
      </c>
      <c r="F458">
        <v>316210</v>
      </c>
      <c r="G458" s="35" t="s">
        <v>1305</v>
      </c>
      <c r="H458" s="31" t="s">
        <v>1396</v>
      </c>
      <c r="J458" t="s">
        <v>77</v>
      </c>
      <c r="M458">
        <v>145</v>
      </c>
      <c r="P458" t="s">
        <v>78</v>
      </c>
      <c r="Q458" s="55">
        <v>139.09090909090909</v>
      </c>
      <c r="R458" s="32">
        <v>76.5</v>
      </c>
      <c r="S458" s="33">
        <v>0.33</v>
      </c>
      <c r="T458" s="34">
        <f t="shared" si="15"/>
        <v>114.17910447761196</v>
      </c>
      <c r="U458" s="34">
        <f t="shared" si="16"/>
        <v>115.60634328358211</v>
      </c>
      <c r="V458" t="s">
        <v>79</v>
      </c>
      <c r="W458" s="32">
        <v>15</v>
      </c>
      <c r="X458" s="32" t="s">
        <v>80</v>
      </c>
      <c r="AD458" s="1">
        <v>194917894279</v>
      </c>
      <c r="AN458">
        <v>30</v>
      </c>
      <c r="AO458" t="s">
        <v>81</v>
      </c>
    </row>
    <row r="459" spans="1:41" ht="90" x14ac:dyDescent="0.25">
      <c r="A459" s="2">
        <v>194917993156</v>
      </c>
      <c r="B459" t="s">
        <v>71</v>
      </c>
      <c r="C459" t="s">
        <v>72</v>
      </c>
      <c r="D459" t="s">
        <v>1397</v>
      </c>
      <c r="E459" t="s">
        <v>1398</v>
      </c>
      <c r="F459">
        <v>316210</v>
      </c>
      <c r="G459" s="35" t="s">
        <v>1305</v>
      </c>
      <c r="H459" s="31" t="s">
        <v>1399</v>
      </c>
      <c r="J459" t="s">
        <v>77</v>
      </c>
      <c r="M459">
        <v>145</v>
      </c>
      <c r="P459" t="s">
        <v>78</v>
      </c>
      <c r="Q459" s="55">
        <v>139.09090909090909</v>
      </c>
      <c r="R459" s="32">
        <v>76.5</v>
      </c>
      <c r="S459" s="33">
        <v>0.33</v>
      </c>
      <c r="T459" s="34">
        <f t="shared" si="15"/>
        <v>114.17910447761196</v>
      </c>
      <c r="U459" s="34">
        <f t="shared" si="16"/>
        <v>115.60634328358211</v>
      </c>
      <c r="V459" t="s">
        <v>79</v>
      </c>
      <c r="W459" s="32">
        <v>15</v>
      </c>
      <c r="X459" s="32" t="s">
        <v>80</v>
      </c>
      <c r="AD459" s="1">
        <v>194917993156</v>
      </c>
      <c r="AN459">
        <v>30</v>
      </c>
      <c r="AO459" t="s">
        <v>81</v>
      </c>
    </row>
    <row r="460" spans="1:41" ht="90" x14ac:dyDescent="0.25">
      <c r="A460" s="2">
        <v>194917894286</v>
      </c>
      <c r="B460" t="s">
        <v>71</v>
      </c>
      <c r="C460" t="s">
        <v>72</v>
      </c>
      <c r="D460" t="s">
        <v>1400</v>
      </c>
      <c r="E460" t="s">
        <v>1401</v>
      </c>
      <c r="F460">
        <v>316210</v>
      </c>
      <c r="G460" s="35" t="s">
        <v>1305</v>
      </c>
      <c r="H460" s="31" t="s">
        <v>1402</v>
      </c>
      <c r="J460" t="s">
        <v>77</v>
      </c>
      <c r="M460">
        <v>145</v>
      </c>
      <c r="P460" t="s">
        <v>78</v>
      </c>
      <c r="Q460" s="55">
        <v>139.09090909090909</v>
      </c>
      <c r="R460" s="32">
        <v>76.5</v>
      </c>
      <c r="S460" s="33">
        <v>0.33</v>
      </c>
      <c r="T460" s="34">
        <f t="shared" si="15"/>
        <v>114.17910447761196</v>
      </c>
      <c r="U460" s="34">
        <f t="shared" si="16"/>
        <v>115.60634328358211</v>
      </c>
      <c r="V460" t="s">
        <v>79</v>
      </c>
      <c r="W460" s="32">
        <v>15</v>
      </c>
      <c r="X460" s="32" t="s">
        <v>80</v>
      </c>
      <c r="AD460" s="1">
        <v>194917894286</v>
      </c>
      <c r="AN460">
        <v>30</v>
      </c>
      <c r="AO460" t="s">
        <v>81</v>
      </c>
    </row>
    <row r="461" spans="1:41" ht="90" x14ac:dyDescent="0.25">
      <c r="A461" s="2">
        <v>194917993163</v>
      </c>
      <c r="B461" t="s">
        <v>71</v>
      </c>
      <c r="C461" t="s">
        <v>72</v>
      </c>
      <c r="D461" t="s">
        <v>1403</v>
      </c>
      <c r="E461" t="s">
        <v>1404</v>
      </c>
      <c r="F461">
        <v>316210</v>
      </c>
      <c r="G461" s="35" t="s">
        <v>1305</v>
      </c>
      <c r="H461" s="31" t="s">
        <v>1405</v>
      </c>
      <c r="J461" t="s">
        <v>77</v>
      </c>
      <c r="M461">
        <v>145</v>
      </c>
      <c r="P461" t="s">
        <v>78</v>
      </c>
      <c r="Q461" s="55">
        <v>139.09090909090909</v>
      </c>
      <c r="R461" s="32">
        <v>76.5</v>
      </c>
      <c r="S461" s="33">
        <v>0.33</v>
      </c>
      <c r="T461" s="34">
        <f t="shared" si="15"/>
        <v>114.17910447761196</v>
      </c>
      <c r="U461" s="34">
        <f t="shared" si="16"/>
        <v>115.60634328358211</v>
      </c>
      <c r="V461" t="s">
        <v>79</v>
      </c>
      <c r="W461" s="32">
        <v>15</v>
      </c>
      <c r="X461" s="32" t="s">
        <v>80</v>
      </c>
      <c r="AD461" s="1">
        <v>194917993163</v>
      </c>
      <c r="AN461">
        <v>30</v>
      </c>
      <c r="AO461" t="s">
        <v>81</v>
      </c>
    </row>
    <row r="462" spans="1:41" ht="90" x14ac:dyDescent="0.25">
      <c r="A462" s="2">
        <v>195017685538</v>
      </c>
      <c r="B462" t="s">
        <v>71</v>
      </c>
      <c r="C462" t="s">
        <v>72</v>
      </c>
      <c r="D462" t="s">
        <v>1406</v>
      </c>
      <c r="E462" t="s">
        <v>1407</v>
      </c>
      <c r="F462">
        <v>316210</v>
      </c>
      <c r="G462" s="35" t="s">
        <v>1408</v>
      </c>
      <c r="H462" s="31" t="s">
        <v>1409</v>
      </c>
      <c r="J462" t="s">
        <v>77</v>
      </c>
      <c r="M462">
        <v>130</v>
      </c>
      <c r="P462" t="s">
        <v>78</v>
      </c>
      <c r="Q462" s="55">
        <v>124.54545454545453</v>
      </c>
      <c r="R462" s="32">
        <v>68.5</v>
      </c>
      <c r="S462" s="33">
        <v>0.33</v>
      </c>
      <c r="T462" s="34">
        <f t="shared" si="15"/>
        <v>102.23880597014926</v>
      </c>
      <c r="U462" s="34">
        <f t="shared" si="16"/>
        <v>103.51679104477611</v>
      </c>
      <c r="V462" t="s">
        <v>79</v>
      </c>
      <c r="W462" s="32">
        <v>15</v>
      </c>
      <c r="X462" s="32" t="s">
        <v>80</v>
      </c>
      <c r="AD462" s="1">
        <v>195017685538</v>
      </c>
      <c r="AN462">
        <v>30</v>
      </c>
      <c r="AO462" t="s">
        <v>81</v>
      </c>
    </row>
    <row r="463" spans="1:41" ht="90" x14ac:dyDescent="0.25">
      <c r="A463" s="2">
        <v>195017685545</v>
      </c>
      <c r="B463" t="s">
        <v>71</v>
      </c>
      <c r="C463" t="s">
        <v>72</v>
      </c>
      <c r="D463" t="s">
        <v>1410</v>
      </c>
      <c r="E463" t="s">
        <v>1411</v>
      </c>
      <c r="F463">
        <v>316210</v>
      </c>
      <c r="G463" s="35" t="s">
        <v>1408</v>
      </c>
      <c r="H463" s="31" t="s">
        <v>1412</v>
      </c>
      <c r="J463" t="s">
        <v>77</v>
      </c>
      <c r="M463">
        <v>130</v>
      </c>
      <c r="P463" t="s">
        <v>78</v>
      </c>
      <c r="Q463" s="55">
        <v>124.54545454545453</v>
      </c>
      <c r="R463" s="32">
        <v>68.5</v>
      </c>
      <c r="S463" s="33">
        <v>0.33</v>
      </c>
      <c r="T463" s="34">
        <f t="shared" si="15"/>
        <v>102.23880597014926</v>
      </c>
      <c r="U463" s="34">
        <f t="shared" si="16"/>
        <v>103.51679104477611</v>
      </c>
      <c r="V463" t="s">
        <v>79</v>
      </c>
      <c r="W463" s="32">
        <v>15</v>
      </c>
      <c r="X463" s="32" t="s">
        <v>80</v>
      </c>
      <c r="AD463" s="1">
        <v>195017685545</v>
      </c>
      <c r="AN463">
        <v>30</v>
      </c>
      <c r="AO463" t="s">
        <v>81</v>
      </c>
    </row>
    <row r="464" spans="1:41" ht="90" x14ac:dyDescent="0.25">
      <c r="A464" s="2">
        <v>195017659935</v>
      </c>
      <c r="B464" t="s">
        <v>71</v>
      </c>
      <c r="C464" t="s">
        <v>72</v>
      </c>
      <c r="D464" t="s">
        <v>1413</v>
      </c>
      <c r="E464" t="s">
        <v>1414</v>
      </c>
      <c r="F464">
        <v>316210</v>
      </c>
      <c r="G464" s="35" t="s">
        <v>1408</v>
      </c>
      <c r="H464" s="31" t="s">
        <v>1415</v>
      </c>
      <c r="J464" t="s">
        <v>77</v>
      </c>
      <c r="M464">
        <v>130</v>
      </c>
      <c r="P464" t="s">
        <v>78</v>
      </c>
      <c r="Q464" s="55">
        <v>124.54545454545453</v>
      </c>
      <c r="R464" s="32">
        <v>68.5</v>
      </c>
      <c r="S464" s="33">
        <v>0.33</v>
      </c>
      <c r="T464" s="34">
        <f t="shared" si="15"/>
        <v>102.23880597014926</v>
      </c>
      <c r="U464" s="34">
        <f t="shared" si="16"/>
        <v>103.51679104477611</v>
      </c>
      <c r="V464" t="s">
        <v>79</v>
      </c>
      <c r="W464" s="32">
        <v>15</v>
      </c>
      <c r="X464" s="32" t="s">
        <v>80</v>
      </c>
      <c r="AD464" s="1">
        <v>195017659935</v>
      </c>
      <c r="AN464">
        <v>30</v>
      </c>
      <c r="AO464" t="s">
        <v>81</v>
      </c>
    </row>
    <row r="465" spans="1:41" ht="90" x14ac:dyDescent="0.25">
      <c r="A465" s="2">
        <v>195017659942</v>
      </c>
      <c r="B465" t="s">
        <v>71</v>
      </c>
      <c r="C465" t="s">
        <v>72</v>
      </c>
      <c r="D465" t="s">
        <v>1416</v>
      </c>
      <c r="E465" t="s">
        <v>1417</v>
      </c>
      <c r="F465">
        <v>316210</v>
      </c>
      <c r="G465" s="35" t="s">
        <v>1408</v>
      </c>
      <c r="H465" s="31" t="s">
        <v>1418</v>
      </c>
      <c r="J465" t="s">
        <v>77</v>
      </c>
      <c r="M465">
        <v>130</v>
      </c>
      <c r="P465" t="s">
        <v>78</v>
      </c>
      <c r="Q465" s="55">
        <v>124.54545454545453</v>
      </c>
      <c r="R465" s="32">
        <v>68.5</v>
      </c>
      <c r="S465" s="33">
        <v>0.33</v>
      </c>
      <c r="T465" s="34">
        <f t="shared" si="15"/>
        <v>102.23880597014926</v>
      </c>
      <c r="U465" s="34">
        <f t="shared" si="16"/>
        <v>103.51679104477611</v>
      </c>
      <c r="V465" t="s">
        <v>79</v>
      </c>
      <c r="W465" s="32">
        <v>15</v>
      </c>
      <c r="X465" s="32" t="s">
        <v>80</v>
      </c>
      <c r="AD465" s="1">
        <v>195017659942</v>
      </c>
      <c r="AN465">
        <v>30</v>
      </c>
      <c r="AO465" t="s">
        <v>81</v>
      </c>
    </row>
    <row r="466" spans="1:41" ht="90" x14ac:dyDescent="0.25">
      <c r="A466" s="2">
        <v>195017659959</v>
      </c>
      <c r="B466" t="s">
        <v>71</v>
      </c>
      <c r="C466" t="s">
        <v>72</v>
      </c>
      <c r="D466" t="s">
        <v>1419</v>
      </c>
      <c r="E466" t="s">
        <v>1420</v>
      </c>
      <c r="F466">
        <v>316210</v>
      </c>
      <c r="G466" s="35" t="s">
        <v>1408</v>
      </c>
      <c r="H466" s="31" t="s">
        <v>1421</v>
      </c>
      <c r="J466" t="s">
        <v>77</v>
      </c>
      <c r="M466">
        <v>130</v>
      </c>
      <c r="P466" t="s">
        <v>78</v>
      </c>
      <c r="Q466" s="55">
        <v>124.54545454545453</v>
      </c>
      <c r="R466" s="32">
        <v>68.5</v>
      </c>
      <c r="S466" s="33">
        <v>0.33</v>
      </c>
      <c r="T466" s="34">
        <f t="shared" si="15"/>
        <v>102.23880597014926</v>
      </c>
      <c r="U466" s="34">
        <f t="shared" si="16"/>
        <v>103.51679104477611</v>
      </c>
      <c r="V466" t="s">
        <v>79</v>
      </c>
      <c r="W466" s="32">
        <v>15</v>
      </c>
      <c r="X466" s="32" t="s">
        <v>80</v>
      </c>
      <c r="AD466" s="1">
        <v>195017659959</v>
      </c>
      <c r="AN466">
        <v>30</v>
      </c>
      <c r="AO466" t="s">
        <v>81</v>
      </c>
    </row>
    <row r="467" spans="1:41" ht="90" x14ac:dyDescent="0.25">
      <c r="A467" s="2">
        <v>195017659966</v>
      </c>
      <c r="B467" t="s">
        <v>71</v>
      </c>
      <c r="C467" t="s">
        <v>72</v>
      </c>
      <c r="D467" t="s">
        <v>1422</v>
      </c>
      <c r="E467" t="s">
        <v>1423</v>
      </c>
      <c r="F467">
        <v>316210</v>
      </c>
      <c r="G467" s="35" t="s">
        <v>1408</v>
      </c>
      <c r="H467" s="31" t="s">
        <v>1424</v>
      </c>
      <c r="J467" t="s">
        <v>77</v>
      </c>
      <c r="M467">
        <v>130</v>
      </c>
      <c r="P467" t="s">
        <v>78</v>
      </c>
      <c r="Q467" s="55">
        <v>124.54545454545453</v>
      </c>
      <c r="R467" s="32">
        <v>68.5</v>
      </c>
      <c r="S467" s="33">
        <v>0.33</v>
      </c>
      <c r="T467" s="34">
        <f t="shared" si="15"/>
        <v>102.23880597014926</v>
      </c>
      <c r="U467" s="34">
        <f t="shared" si="16"/>
        <v>103.51679104477611</v>
      </c>
      <c r="V467" t="s">
        <v>79</v>
      </c>
      <c r="W467" s="32">
        <v>15</v>
      </c>
      <c r="X467" s="32" t="s">
        <v>80</v>
      </c>
      <c r="AD467" s="1">
        <v>195017659966</v>
      </c>
      <c r="AN467">
        <v>30</v>
      </c>
      <c r="AO467" t="s">
        <v>81</v>
      </c>
    </row>
    <row r="468" spans="1:41" ht="90" x14ac:dyDescent="0.25">
      <c r="A468" s="2">
        <v>194917894293</v>
      </c>
      <c r="B468" t="s">
        <v>71</v>
      </c>
      <c r="C468" t="s">
        <v>72</v>
      </c>
      <c r="D468" t="s">
        <v>1425</v>
      </c>
      <c r="E468" t="s">
        <v>1426</v>
      </c>
      <c r="F468">
        <v>316210</v>
      </c>
      <c r="G468" s="35" t="s">
        <v>1408</v>
      </c>
      <c r="H468" s="31" t="s">
        <v>1427</v>
      </c>
      <c r="J468" t="s">
        <v>77</v>
      </c>
      <c r="M468">
        <v>130</v>
      </c>
      <c r="P468" t="s">
        <v>78</v>
      </c>
      <c r="Q468" s="55">
        <v>124.54545454545453</v>
      </c>
      <c r="R468" s="32">
        <v>68.5</v>
      </c>
      <c r="S468" s="33">
        <v>0.33</v>
      </c>
      <c r="T468" s="34">
        <f t="shared" si="15"/>
        <v>102.23880597014926</v>
      </c>
      <c r="U468" s="34">
        <f t="shared" si="16"/>
        <v>103.51679104477611</v>
      </c>
      <c r="V468" t="s">
        <v>79</v>
      </c>
      <c r="W468" s="32">
        <v>15</v>
      </c>
      <c r="X468" s="32" t="s">
        <v>80</v>
      </c>
      <c r="AD468" s="1">
        <v>194917894293</v>
      </c>
      <c r="AN468">
        <v>30</v>
      </c>
      <c r="AO468" t="s">
        <v>81</v>
      </c>
    </row>
    <row r="469" spans="1:41" ht="90" x14ac:dyDescent="0.25">
      <c r="A469" s="2">
        <v>194917995327</v>
      </c>
      <c r="B469" t="s">
        <v>71</v>
      </c>
      <c r="C469" t="s">
        <v>72</v>
      </c>
      <c r="D469" t="s">
        <v>1428</v>
      </c>
      <c r="E469" t="s">
        <v>1429</v>
      </c>
      <c r="F469">
        <v>316210</v>
      </c>
      <c r="G469" s="35" t="s">
        <v>1408</v>
      </c>
      <c r="H469" s="31" t="s">
        <v>1430</v>
      </c>
      <c r="J469" t="s">
        <v>77</v>
      </c>
      <c r="M469">
        <v>130</v>
      </c>
      <c r="P469" t="s">
        <v>78</v>
      </c>
      <c r="Q469" s="55">
        <v>124.54545454545453</v>
      </c>
      <c r="R469" s="32">
        <v>68.5</v>
      </c>
      <c r="S469" s="33">
        <v>0.33</v>
      </c>
      <c r="T469" s="34">
        <f t="shared" si="15"/>
        <v>102.23880597014926</v>
      </c>
      <c r="U469" s="34">
        <f t="shared" si="16"/>
        <v>103.51679104477611</v>
      </c>
      <c r="V469" t="s">
        <v>79</v>
      </c>
      <c r="W469" s="32">
        <v>15</v>
      </c>
      <c r="X469" s="32" t="s">
        <v>80</v>
      </c>
      <c r="AD469" s="1">
        <v>194917995327</v>
      </c>
      <c r="AN469">
        <v>30</v>
      </c>
      <c r="AO469" t="s">
        <v>81</v>
      </c>
    </row>
    <row r="470" spans="1:41" ht="90" x14ac:dyDescent="0.25">
      <c r="A470" s="2">
        <v>194917894309</v>
      </c>
      <c r="B470" t="s">
        <v>71</v>
      </c>
      <c r="C470" t="s">
        <v>72</v>
      </c>
      <c r="D470" t="s">
        <v>1431</v>
      </c>
      <c r="E470" t="s">
        <v>1432</v>
      </c>
      <c r="F470">
        <v>316210</v>
      </c>
      <c r="G470" s="35" t="s">
        <v>1408</v>
      </c>
      <c r="H470" s="31" t="s">
        <v>1433</v>
      </c>
      <c r="J470" t="s">
        <v>77</v>
      </c>
      <c r="M470">
        <v>130</v>
      </c>
      <c r="P470" t="s">
        <v>78</v>
      </c>
      <c r="Q470" s="55">
        <v>124.54545454545453</v>
      </c>
      <c r="R470" s="32">
        <v>68.5</v>
      </c>
      <c r="S470" s="33">
        <v>0.33</v>
      </c>
      <c r="T470" s="34">
        <f t="shared" si="15"/>
        <v>102.23880597014926</v>
      </c>
      <c r="U470" s="34">
        <f t="shared" si="16"/>
        <v>103.51679104477611</v>
      </c>
      <c r="V470" t="s">
        <v>79</v>
      </c>
      <c r="W470" s="32">
        <v>15</v>
      </c>
      <c r="X470" s="32" t="s">
        <v>80</v>
      </c>
      <c r="AD470" s="1">
        <v>194917894309</v>
      </c>
      <c r="AN470">
        <v>30</v>
      </c>
      <c r="AO470" t="s">
        <v>81</v>
      </c>
    </row>
    <row r="471" spans="1:41" ht="90" x14ac:dyDescent="0.25">
      <c r="A471" s="2">
        <v>194917995334</v>
      </c>
      <c r="B471" t="s">
        <v>71</v>
      </c>
      <c r="C471" t="s">
        <v>72</v>
      </c>
      <c r="D471" t="s">
        <v>1434</v>
      </c>
      <c r="E471" t="s">
        <v>1435</v>
      </c>
      <c r="F471">
        <v>316210</v>
      </c>
      <c r="G471" s="35" t="s">
        <v>1408</v>
      </c>
      <c r="H471" s="31" t="s">
        <v>1436</v>
      </c>
      <c r="J471" t="s">
        <v>77</v>
      </c>
      <c r="M471">
        <v>130</v>
      </c>
      <c r="P471" t="s">
        <v>78</v>
      </c>
      <c r="Q471" s="55">
        <v>124.54545454545453</v>
      </c>
      <c r="R471" s="32">
        <v>68.5</v>
      </c>
      <c r="S471" s="33">
        <v>0.33</v>
      </c>
      <c r="T471" s="34">
        <f t="shared" si="15"/>
        <v>102.23880597014926</v>
      </c>
      <c r="U471" s="34">
        <f t="shared" si="16"/>
        <v>103.51679104477611</v>
      </c>
      <c r="V471" t="s">
        <v>79</v>
      </c>
      <c r="W471" s="32">
        <v>15</v>
      </c>
      <c r="X471" s="32" t="s">
        <v>80</v>
      </c>
      <c r="AD471" s="1">
        <v>194917995334</v>
      </c>
      <c r="AN471">
        <v>30</v>
      </c>
      <c r="AO471" t="s">
        <v>81</v>
      </c>
    </row>
    <row r="472" spans="1:41" ht="90" x14ac:dyDescent="0.25">
      <c r="A472" s="2">
        <v>194917894316</v>
      </c>
      <c r="B472" t="s">
        <v>71</v>
      </c>
      <c r="C472" t="s">
        <v>72</v>
      </c>
      <c r="D472" t="s">
        <v>1437</v>
      </c>
      <c r="E472" t="s">
        <v>1438</v>
      </c>
      <c r="F472">
        <v>316210</v>
      </c>
      <c r="G472" s="35" t="s">
        <v>1408</v>
      </c>
      <c r="H472" s="31" t="s">
        <v>1439</v>
      </c>
      <c r="J472" t="s">
        <v>77</v>
      </c>
      <c r="M472">
        <v>130</v>
      </c>
      <c r="P472" t="s">
        <v>78</v>
      </c>
      <c r="Q472" s="55">
        <v>124.54545454545453</v>
      </c>
      <c r="R472" s="32">
        <v>68.5</v>
      </c>
      <c r="S472" s="33">
        <v>0.33</v>
      </c>
      <c r="T472" s="34">
        <f t="shared" si="15"/>
        <v>102.23880597014926</v>
      </c>
      <c r="U472" s="34">
        <f t="shared" si="16"/>
        <v>103.51679104477611</v>
      </c>
      <c r="V472" t="s">
        <v>79</v>
      </c>
      <c r="W472" s="32">
        <v>15</v>
      </c>
      <c r="X472" s="32" t="s">
        <v>80</v>
      </c>
      <c r="AD472" s="1">
        <v>194917894316</v>
      </c>
      <c r="AN472">
        <v>30</v>
      </c>
      <c r="AO472" t="s">
        <v>81</v>
      </c>
    </row>
    <row r="473" spans="1:41" ht="90" x14ac:dyDescent="0.25">
      <c r="A473" s="2">
        <v>194917995341</v>
      </c>
      <c r="B473" t="s">
        <v>71</v>
      </c>
      <c r="C473" t="s">
        <v>72</v>
      </c>
      <c r="D473" t="s">
        <v>1440</v>
      </c>
      <c r="E473" t="s">
        <v>1441</v>
      </c>
      <c r="F473">
        <v>316210</v>
      </c>
      <c r="G473" s="35" t="s">
        <v>1408</v>
      </c>
      <c r="H473" s="31" t="s">
        <v>1442</v>
      </c>
      <c r="J473" t="s">
        <v>77</v>
      </c>
      <c r="M473">
        <v>130</v>
      </c>
      <c r="P473" t="s">
        <v>78</v>
      </c>
      <c r="Q473" s="55">
        <v>124.54545454545453</v>
      </c>
      <c r="R473" s="32">
        <v>68.5</v>
      </c>
      <c r="S473" s="33">
        <v>0.33</v>
      </c>
      <c r="T473" s="34">
        <f t="shared" si="15"/>
        <v>102.23880597014926</v>
      </c>
      <c r="U473" s="34">
        <f t="shared" si="16"/>
        <v>103.51679104477611</v>
      </c>
      <c r="V473" t="s">
        <v>79</v>
      </c>
      <c r="W473" s="32">
        <v>15</v>
      </c>
      <c r="X473" s="32" t="s">
        <v>80</v>
      </c>
      <c r="AD473" s="1">
        <v>194917995341</v>
      </c>
      <c r="AN473">
        <v>30</v>
      </c>
      <c r="AO473" t="s">
        <v>81</v>
      </c>
    </row>
    <row r="474" spans="1:41" ht="90" x14ac:dyDescent="0.25">
      <c r="A474" s="2">
        <v>194917894323</v>
      </c>
      <c r="B474" t="s">
        <v>71</v>
      </c>
      <c r="C474" t="s">
        <v>72</v>
      </c>
      <c r="D474" t="s">
        <v>1443</v>
      </c>
      <c r="E474" t="s">
        <v>1444</v>
      </c>
      <c r="F474">
        <v>316210</v>
      </c>
      <c r="G474" s="35" t="s">
        <v>1408</v>
      </c>
      <c r="H474" s="31" t="s">
        <v>1445</v>
      </c>
      <c r="J474" t="s">
        <v>77</v>
      </c>
      <c r="M474">
        <v>130</v>
      </c>
      <c r="P474" t="s">
        <v>78</v>
      </c>
      <c r="Q474" s="55">
        <v>124.54545454545453</v>
      </c>
      <c r="R474" s="32">
        <v>68.5</v>
      </c>
      <c r="S474" s="33">
        <v>0.33</v>
      </c>
      <c r="T474" s="34">
        <f t="shared" si="15"/>
        <v>102.23880597014926</v>
      </c>
      <c r="U474" s="34">
        <f t="shared" si="16"/>
        <v>103.51679104477611</v>
      </c>
      <c r="V474" t="s">
        <v>79</v>
      </c>
      <c r="W474" s="32">
        <v>15</v>
      </c>
      <c r="X474" s="32" t="s">
        <v>80</v>
      </c>
      <c r="AD474" s="1">
        <v>194917894323</v>
      </c>
      <c r="AN474">
        <v>30</v>
      </c>
      <c r="AO474" t="s">
        <v>81</v>
      </c>
    </row>
    <row r="475" spans="1:41" ht="90" x14ac:dyDescent="0.25">
      <c r="A475" s="2">
        <v>194917995358</v>
      </c>
      <c r="B475" t="s">
        <v>71</v>
      </c>
      <c r="C475" t="s">
        <v>72</v>
      </c>
      <c r="D475" t="s">
        <v>1446</v>
      </c>
      <c r="E475" t="s">
        <v>1447</v>
      </c>
      <c r="F475">
        <v>316210</v>
      </c>
      <c r="G475" s="35" t="s">
        <v>1408</v>
      </c>
      <c r="H475" s="31" t="s">
        <v>1448</v>
      </c>
      <c r="J475" t="s">
        <v>77</v>
      </c>
      <c r="M475">
        <v>130</v>
      </c>
      <c r="P475" t="s">
        <v>78</v>
      </c>
      <c r="Q475" s="55">
        <v>124.54545454545453</v>
      </c>
      <c r="R475" s="32">
        <v>68.5</v>
      </c>
      <c r="S475" s="33">
        <v>0.33</v>
      </c>
      <c r="T475" s="34">
        <f t="shared" si="15"/>
        <v>102.23880597014926</v>
      </c>
      <c r="U475" s="34">
        <f t="shared" si="16"/>
        <v>103.51679104477611</v>
      </c>
      <c r="V475" t="s">
        <v>79</v>
      </c>
      <c r="W475" s="32">
        <v>15</v>
      </c>
      <c r="X475" s="32" t="s">
        <v>80</v>
      </c>
      <c r="AD475" s="1">
        <v>194917995358</v>
      </c>
      <c r="AN475">
        <v>30</v>
      </c>
      <c r="AO475" t="s">
        <v>81</v>
      </c>
    </row>
    <row r="476" spans="1:41" ht="90" x14ac:dyDescent="0.25">
      <c r="A476" s="2">
        <v>194917894330</v>
      </c>
      <c r="B476" t="s">
        <v>71</v>
      </c>
      <c r="C476" t="s">
        <v>72</v>
      </c>
      <c r="D476" t="s">
        <v>1449</v>
      </c>
      <c r="E476" t="s">
        <v>1450</v>
      </c>
      <c r="F476">
        <v>316210</v>
      </c>
      <c r="G476" s="35" t="s">
        <v>1408</v>
      </c>
      <c r="H476" s="31" t="s">
        <v>1451</v>
      </c>
      <c r="J476" t="s">
        <v>77</v>
      </c>
      <c r="M476">
        <v>130</v>
      </c>
      <c r="P476" t="s">
        <v>78</v>
      </c>
      <c r="Q476" s="55">
        <v>124.54545454545453</v>
      </c>
      <c r="R476" s="32">
        <v>68.5</v>
      </c>
      <c r="S476" s="33">
        <v>0.33</v>
      </c>
      <c r="T476" s="34">
        <f t="shared" si="15"/>
        <v>102.23880597014926</v>
      </c>
      <c r="U476" s="34">
        <f t="shared" si="16"/>
        <v>103.51679104477611</v>
      </c>
      <c r="V476" t="s">
        <v>79</v>
      </c>
      <c r="W476" s="32">
        <v>15</v>
      </c>
      <c r="X476" s="32" t="s">
        <v>80</v>
      </c>
      <c r="AD476" s="1">
        <v>194917894330</v>
      </c>
      <c r="AN476">
        <v>30</v>
      </c>
      <c r="AO476" t="s">
        <v>81</v>
      </c>
    </row>
    <row r="477" spans="1:41" ht="90" x14ac:dyDescent="0.25">
      <c r="A477" s="2">
        <v>194917995365</v>
      </c>
      <c r="B477" t="s">
        <v>71</v>
      </c>
      <c r="C477" t="s">
        <v>72</v>
      </c>
      <c r="D477" t="s">
        <v>1452</v>
      </c>
      <c r="E477" t="s">
        <v>1453</v>
      </c>
      <c r="F477">
        <v>316210</v>
      </c>
      <c r="G477" s="35" t="s">
        <v>1408</v>
      </c>
      <c r="H477" s="31" t="s">
        <v>1454</v>
      </c>
      <c r="J477" t="s">
        <v>77</v>
      </c>
      <c r="M477">
        <v>130</v>
      </c>
      <c r="P477" t="s">
        <v>78</v>
      </c>
      <c r="Q477" s="55">
        <v>124.54545454545453</v>
      </c>
      <c r="R477" s="32">
        <v>68.5</v>
      </c>
      <c r="S477" s="33">
        <v>0.33</v>
      </c>
      <c r="T477" s="34">
        <f t="shared" si="15"/>
        <v>102.23880597014926</v>
      </c>
      <c r="U477" s="34">
        <f t="shared" si="16"/>
        <v>103.51679104477611</v>
      </c>
      <c r="V477" t="s">
        <v>79</v>
      </c>
      <c r="W477" s="32">
        <v>15</v>
      </c>
      <c r="X477" s="32" t="s">
        <v>80</v>
      </c>
      <c r="AD477" s="1">
        <v>194917995365</v>
      </c>
      <c r="AN477">
        <v>30</v>
      </c>
      <c r="AO477" t="s">
        <v>81</v>
      </c>
    </row>
    <row r="478" spans="1:41" ht="90" x14ac:dyDescent="0.25">
      <c r="A478" s="2">
        <v>194917894347</v>
      </c>
      <c r="B478" t="s">
        <v>71</v>
      </c>
      <c r="C478" t="s">
        <v>72</v>
      </c>
      <c r="D478" t="s">
        <v>1455</v>
      </c>
      <c r="E478" t="s">
        <v>1456</v>
      </c>
      <c r="F478">
        <v>316210</v>
      </c>
      <c r="G478" s="35" t="s">
        <v>1408</v>
      </c>
      <c r="H478" s="31" t="s">
        <v>1457</v>
      </c>
      <c r="J478" t="s">
        <v>77</v>
      </c>
      <c r="M478">
        <v>130</v>
      </c>
      <c r="P478" t="s">
        <v>78</v>
      </c>
      <c r="Q478" s="55">
        <v>124.54545454545453</v>
      </c>
      <c r="R478" s="32">
        <v>68.5</v>
      </c>
      <c r="S478" s="33">
        <v>0.33</v>
      </c>
      <c r="T478" s="34">
        <f t="shared" si="15"/>
        <v>102.23880597014926</v>
      </c>
      <c r="U478" s="34">
        <f t="shared" si="16"/>
        <v>103.51679104477611</v>
      </c>
      <c r="V478" t="s">
        <v>79</v>
      </c>
      <c r="W478" s="32">
        <v>15</v>
      </c>
      <c r="X478" s="32" t="s">
        <v>80</v>
      </c>
      <c r="AD478" s="1">
        <v>194917894347</v>
      </c>
      <c r="AN478">
        <v>30</v>
      </c>
      <c r="AO478" t="s">
        <v>81</v>
      </c>
    </row>
    <row r="479" spans="1:41" ht="90" x14ac:dyDescent="0.25">
      <c r="A479" s="2">
        <v>194917995372</v>
      </c>
      <c r="B479" t="s">
        <v>71</v>
      </c>
      <c r="C479" t="s">
        <v>72</v>
      </c>
      <c r="D479" t="s">
        <v>1458</v>
      </c>
      <c r="E479" t="s">
        <v>1459</v>
      </c>
      <c r="F479">
        <v>316210</v>
      </c>
      <c r="G479" s="35" t="s">
        <v>1408</v>
      </c>
      <c r="H479" s="31" t="s">
        <v>1460</v>
      </c>
      <c r="J479" t="s">
        <v>77</v>
      </c>
      <c r="M479">
        <v>130</v>
      </c>
      <c r="P479" t="s">
        <v>78</v>
      </c>
      <c r="Q479" s="55">
        <v>124.54545454545453</v>
      </c>
      <c r="R479" s="32">
        <v>68.5</v>
      </c>
      <c r="S479" s="33">
        <v>0.33</v>
      </c>
      <c r="T479" s="34">
        <f t="shared" si="15"/>
        <v>102.23880597014926</v>
      </c>
      <c r="U479" s="34">
        <f t="shared" si="16"/>
        <v>103.51679104477611</v>
      </c>
      <c r="V479" t="s">
        <v>79</v>
      </c>
      <c r="W479" s="32">
        <v>15</v>
      </c>
      <c r="X479" s="32" t="s">
        <v>80</v>
      </c>
      <c r="AD479" s="1">
        <v>194917995372</v>
      </c>
      <c r="AN479">
        <v>30</v>
      </c>
      <c r="AO479" t="s">
        <v>81</v>
      </c>
    </row>
    <row r="480" spans="1:41" ht="90" x14ac:dyDescent="0.25">
      <c r="A480" s="2">
        <v>194917894354</v>
      </c>
      <c r="B480" t="s">
        <v>71</v>
      </c>
      <c r="C480" t="s">
        <v>72</v>
      </c>
      <c r="D480" t="s">
        <v>1461</v>
      </c>
      <c r="E480" t="s">
        <v>1462</v>
      </c>
      <c r="F480">
        <v>316210</v>
      </c>
      <c r="G480" s="35" t="s">
        <v>1408</v>
      </c>
      <c r="H480" s="31" t="s">
        <v>1463</v>
      </c>
      <c r="J480" t="s">
        <v>77</v>
      </c>
      <c r="M480">
        <v>130</v>
      </c>
      <c r="P480" t="s">
        <v>78</v>
      </c>
      <c r="Q480" s="55">
        <v>124.54545454545453</v>
      </c>
      <c r="R480" s="32">
        <v>68.5</v>
      </c>
      <c r="S480" s="33">
        <v>0.33</v>
      </c>
      <c r="T480" s="34">
        <f t="shared" si="15"/>
        <v>102.23880597014926</v>
      </c>
      <c r="U480" s="34">
        <f t="shared" si="16"/>
        <v>103.51679104477611</v>
      </c>
      <c r="V480" t="s">
        <v>79</v>
      </c>
      <c r="W480" s="32">
        <v>15</v>
      </c>
      <c r="X480" s="32" t="s">
        <v>80</v>
      </c>
      <c r="AD480" s="1">
        <v>194917894354</v>
      </c>
      <c r="AN480">
        <v>30</v>
      </c>
      <c r="AO480" t="s">
        <v>81</v>
      </c>
    </row>
    <row r="481" spans="1:41" ht="90" x14ac:dyDescent="0.25">
      <c r="A481" s="2">
        <v>194917995389</v>
      </c>
      <c r="B481" t="s">
        <v>71</v>
      </c>
      <c r="C481" t="s">
        <v>72</v>
      </c>
      <c r="D481" t="s">
        <v>1464</v>
      </c>
      <c r="E481" t="s">
        <v>1465</v>
      </c>
      <c r="F481">
        <v>316210</v>
      </c>
      <c r="G481" s="35" t="s">
        <v>1408</v>
      </c>
      <c r="H481" s="31" t="s">
        <v>1466</v>
      </c>
      <c r="J481" t="s">
        <v>77</v>
      </c>
      <c r="M481">
        <v>130</v>
      </c>
      <c r="P481" t="s">
        <v>78</v>
      </c>
      <c r="Q481" s="55">
        <v>124.54545454545453</v>
      </c>
      <c r="R481" s="32">
        <v>68.5</v>
      </c>
      <c r="S481" s="33">
        <v>0.33</v>
      </c>
      <c r="T481" s="34">
        <f t="shared" si="15"/>
        <v>102.23880597014926</v>
      </c>
      <c r="U481" s="34">
        <f t="shared" si="16"/>
        <v>103.51679104477611</v>
      </c>
      <c r="V481" t="s">
        <v>79</v>
      </c>
      <c r="W481" s="32">
        <v>15</v>
      </c>
      <c r="X481" s="32" t="s">
        <v>80</v>
      </c>
      <c r="AD481" s="1">
        <v>194917995389</v>
      </c>
      <c r="AN481">
        <v>30</v>
      </c>
      <c r="AO481" t="s">
        <v>81</v>
      </c>
    </row>
    <row r="482" spans="1:41" ht="90" x14ac:dyDescent="0.25">
      <c r="A482" s="2">
        <v>194917894361</v>
      </c>
      <c r="B482" t="s">
        <v>71</v>
      </c>
      <c r="C482" t="s">
        <v>72</v>
      </c>
      <c r="D482" t="s">
        <v>1467</v>
      </c>
      <c r="E482" t="s">
        <v>1468</v>
      </c>
      <c r="F482">
        <v>316210</v>
      </c>
      <c r="G482" s="35" t="s">
        <v>1408</v>
      </c>
      <c r="H482" s="31" t="s">
        <v>1469</v>
      </c>
      <c r="J482" t="s">
        <v>77</v>
      </c>
      <c r="M482">
        <v>130</v>
      </c>
      <c r="P482" t="s">
        <v>78</v>
      </c>
      <c r="Q482" s="55">
        <v>124.54545454545453</v>
      </c>
      <c r="R482" s="32">
        <v>68.5</v>
      </c>
      <c r="S482" s="33">
        <v>0.33</v>
      </c>
      <c r="T482" s="34">
        <f t="shared" si="15"/>
        <v>102.23880597014926</v>
      </c>
      <c r="U482" s="34">
        <f t="shared" si="16"/>
        <v>103.51679104477611</v>
      </c>
      <c r="V482" t="s">
        <v>79</v>
      </c>
      <c r="W482" s="32">
        <v>15</v>
      </c>
      <c r="X482" s="32" t="s">
        <v>80</v>
      </c>
      <c r="AD482" s="1">
        <v>194917894361</v>
      </c>
      <c r="AN482">
        <v>30</v>
      </c>
      <c r="AO482" t="s">
        <v>81</v>
      </c>
    </row>
    <row r="483" spans="1:41" ht="90" x14ac:dyDescent="0.25">
      <c r="A483" s="2">
        <v>194917995396</v>
      </c>
      <c r="B483" t="s">
        <v>71</v>
      </c>
      <c r="C483" t="s">
        <v>72</v>
      </c>
      <c r="D483" t="s">
        <v>1470</v>
      </c>
      <c r="E483" t="s">
        <v>1471</v>
      </c>
      <c r="F483">
        <v>316210</v>
      </c>
      <c r="G483" s="35" t="s">
        <v>1408</v>
      </c>
      <c r="H483" s="31" t="s">
        <v>1472</v>
      </c>
      <c r="J483" t="s">
        <v>77</v>
      </c>
      <c r="M483">
        <v>130</v>
      </c>
      <c r="P483" t="s">
        <v>78</v>
      </c>
      <c r="Q483" s="55">
        <v>124.54545454545453</v>
      </c>
      <c r="R483" s="32">
        <v>68.5</v>
      </c>
      <c r="S483" s="33">
        <v>0.33</v>
      </c>
      <c r="T483" s="34">
        <f t="shared" si="15"/>
        <v>102.23880597014926</v>
      </c>
      <c r="U483" s="34">
        <f t="shared" si="16"/>
        <v>103.51679104477611</v>
      </c>
      <c r="V483" t="s">
        <v>79</v>
      </c>
      <c r="W483" s="32">
        <v>15</v>
      </c>
      <c r="X483" s="32" t="s">
        <v>80</v>
      </c>
      <c r="AD483" s="1">
        <v>194917995396</v>
      </c>
      <c r="AN483">
        <v>30</v>
      </c>
      <c r="AO483" t="s">
        <v>81</v>
      </c>
    </row>
    <row r="484" spans="1:41" ht="90" x14ac:dyDescent="0.25">
      <c r="A484" s="2">
        <v>194917894378</v>
      </c>
      <c r="B484" t="s">
        <v>71</v>
      </c>
      <c r="C484" t="s">
        <v>72</v>
      </c>
      <c r="D484" t="s">
        <v>1473</v>
      </c>
      <c r="E484" t="s">
        <v>1474</v>
      </c>
      <c r="F484">
        <v>316210</v>
      </c>
      <c r="G484" s="35" t="s">
        <v>1408</v>
      </c>
      <c r="H484" s="31" t="s">
        <v>1475</v>
      </c>
      <c r="J484" t="s">
        <v>77</v>
      </c>
      <c r="M484">
        <v>130</v>
      </c>
      <c r="P484" t="s">
        <v>78</v>
      </c>
      <c r="Q484" s="55">
        <v>124.54545454545453</v>
      </c>
      <c r="R484" s="32">
        <v>68.5</v>
      </c>
      <c r="S484" s="33">
        <v>0.33</v>
      </c>
      <c r="T484" s="34">
        <f t="shared" si="15"/>
        <v>102.23880597014926</v>
      </c>
      <c r="U484" s="34">
        <f t="shared" si="16"/>
        <v>103.51679104477611</v>
      </c>
      <c r="V484" t="s">
        <v>79</v>
      </c>
      <c r="W484" s="32">
        <v>15</v>
      </c>
      <c r="X484" s="32" t="s">
        <v>80</v>
      </c>
      <c r="AD484" s="1">
        <v>194917894378</v>
      </c>
      <c r="AN484">
        <v>30</v>
      </c>
      <c r="AO484" t="s">
        <v>81</v>
      </c>
    </row>
    <row r="485" spans="1:41" ht="90" x14ac:dyDescent="0.25">
      <c r="A485" s="2">
        <v>194917995402</v>
      </c>
      <c r="B485" t="s">
        <v>71</v>
      </c>
      <c r="C485" t="s">
        <v>72</v>
      </c>
      <c r="D485" t="s">
        <v>1476</v>
      </c>
      <c r="E485" t="s">
        <v>1477</v>
      </c>
      <c r="F485">
        <v>316210</v>
      </c>
      <c r="G485" s="35" t="s">
        <v>1408</v>
      </c>
      <c r="H485" s="31" t="s">
        <v>1478</v>
      </c>
      <c r="J485" t="s">
        <v>77</v>
      </c>
      <c r="M485">
        <v>130</v>
      </c>
      <c r="P485" t="s">
        <v>78</v>
      </c>
      <c r="Q485" s="55">
        <v>124.54545454545453</v>
      </c>
      <c r="R485" s="32">
        <v>68.5</v>
      </c>
      <c r="S485" s="33">
        <v>0.33</v>
      </c>
      <c r="T485" s="34">
        <f t="shared" si="15"/>
        <v>102.23880597014926</v>
      </c>
      <c r="U485" s="34">
        <f t="shared" si="16"/>
        <v>103.51679104477611</v>
      </c>
      <c r="V485" t="s">
        <v>79</v>
      </c>
      <c r="W485" s="32">
        <v>15</v>
      </c>
      <c r="X485" s="32" t="s">
        <v>80</v>
      </c>
      <c r="AD485" s="1">
        <v>194917995402</v>
      </c>
      <c r="AN485">
        <v>30</v>
      </c>
      <c r="AO485" t="s">
        <v>81</v>
      </c>
    </row>
    <row r="486" spans="1:41" ht="90" x14ac:dyDescent="0.25">
      <c r="A486" s="2">
        <v>194917894385</v>
      </c>
      <c r="B486" t="s">
        <v>71</v>
      </c>
      <c r="C486" t="s">
        <v>72</v>
      </c>
      <c r="D486" t="s">
        <v>1479</v>
      </c>
      <c r="E486" t="s">
        <v>1480</v>
      </c>
      <c r="F486">
        <v>316210</v>
      </c>
      <c r="G486" s="35" t="s">
        <v>1408</v>
      </c>
      <c r="H486" s="31" t="s">
        <v>1481</v>
      </c>
      <c r="J486" t="s">
        <v>77</v>
      </c>
      <c r="M486">
        <v>130</v>
      </c>
      <c r="P486" t="s">
        <v>78</v>
      </c>
      <c r="Q486" s="55">
        <v>124.54545454545453</v>
      </c>
      <c r="R486" s="32">
        <v>68.5</v>
      </c>
      <c r="S486" s="33">
        <v>0.33</v>
      </c>
      <c r="T486" s="34">
        <f t="shared" si="15"/>
        <v>102.23880597014926</v>
      </c>
      <c r="U486" s="34">
        <f t="shared" si="16"/>
        <v>103.51679104477611</v>
      </c>
      <c r="V486" t="s">
        <v>79</v>
      </c>
      <c r="W486" s="32">
        <v>15</v>
      </c>
      <c r="X486" s="32" t="s">
        <v>80</v>
      </c>
      <c r="AD486" s="1">
        <v>194917894385</v>
      </c>
      <c r="AN486">
        <v>30</v>
      </c>
      <c r="AO486" t="s">
        <v>81</v>
      </c>
    </row>
    <row r="487" spans="1:41" ht="90" x14ac:dyDescent="0.25">
      <c r="A487" s="2">
        <v>194917995419</v>
      </c>
      <c r="B487" t="s">
        <v>71</v>
      </c>
      <c r="C487" t="s">
        <v>72</v>
      </c>
      <c r="D487" t="s">
        <v>1482</v>
      </c>
      <c r="E487" t="s">
        <v>1483</v>
      </c>
      <c r="F487">
        <v>316210</v>
      </c>
      <c r="G487" s="35" t="s">
        <v>1408</v>
      </c>
      <c r="H487" s="31" t="s">
        <v>1484</v>
      </c>
      <c r="J487" t="s">
        <v>77</v>
      </c>
      <c r="M487">
        <v>130</v>
      </c>
      <c r="P487" t="s">
        <v>78</v>
      </c>
      <c r="Q487" s="55">
        <v>124.54545454545453</v>
      </c>
      <c r="R487" s="32">
        <v>68.5</v>
      </c>
      <c r="S487" s="33">
        <v>0.33</v>
      </c>
      <c r="T487" s="34">
        <f t="shared" si="15"/>
        <v>102.23880597014926</v>
      </c>
      <c r="U487" s="34">
        <f t="shared" si="16"/>
        <v>103.51679104477611</v>
      </c>
      <c r="V487" t="s">
        <v>79</v>
      </c>
      <c r="W487" s="32">
        <v>15</v>
      </c>
      <c r="X487" s="32" t="s">
        <v>80</v>
      </c>
      <c r="AD487" s="1">
        <v>194917995419</v>
      </c>
      <c r="AN487">
        <v>30</v>
      </c>
      <c r="AO487" t="s">
        <v>81</v>
      </c>
    </row>
    <row r="488" spans="1:41" ht="90" x14ac:dyDescent="0.25">
      <c r="A488" s="2">
        <v>194917894392</v>
      </c>
      <c r="B488" t="s">
        <v>71</v>
      </c>
      <c r="C488" t="s">
        <v>72</v>
      </c>
      <c r="D488" t="s">
        <v>1485</v>
      </c>
      <c r="E488" t="s">
        <v>1486</v>
      </c>
      <c r="F488">
        <v>316210</v>
      </c>
      <c r="G488" s="35" t="s">
        <v>1408</v>
      </c>
      <c r="H488" s="31" t="s">
        <v>1487</v>
      </c>
      <c r="J488" t="s">
        <v>77</v>
      </c>
      <c r="M488">
        <v>130</v>
      </c>
      <c r="P488" t="s">
        <v>78</v>
      </c>
      <c r="Q488" s="55">
        <v>124.54545454545453</v>
      </c>
      <c r="R488" s="32">
        <v>68.5</v>
      </c>
      <c r="S488" s="33">
        <v>0.33</v>
      </c>
      <c r="T488" s="34">
        <f t="shared" si="15"/>
        <v>102.23880597014926</v>
      </c>
      <c r="U488" s="34">
        <f t="shared" si="16"/>
        <v>103.51679104477611</v>
      </c>
      <c r="V488" t="s">
        <v>79</v>
      </c>
      <c r="W488" s="32">
        <v>15</v>
      </c>
      <c r="X488" s="32" t="s">
        <v>80</v>
      </c>
      <c r="AD488" s="1">
        <v>194917894392</v>
      </c>
      <c r="AN488">
        <v>30</v>
      </c>
      <c r="AO488" t="s">
        <v>81</v>
      </c>
    </row>
    <row r="489" spans="1:41" ht="90" x14ac:dyDescent="0.25">
      <c r="A489" s="2">
        <v>194917995426</v>
      </c>
      <c r="B489" t="s">
        <v>71</v>
      </c>
      <c r="C489" t="s">
        <v>72</v>
      </c>
      <c r="D489" t="s">
        <v>1488</v>
      </c>
      <c r="E489" t="s">
        <v>1489</v>
      </c>
      <c r="F489">
        <v>316210</v>
      </c>
      <c r="G489" s="35" t="s">
        <v>1408</v>
      </c>
      <c r="H489" s="31" t="s">
        <v>1490</v>
      </c>
      <c r="J489" t="s">
        <v>77</v>
      </c>
      <c r="M489">
        <v>130</v>
      </c>
      <c r="P489" t="s">
        <v>78</v>
      </c>
      <c r="Q489" s="55">
        <v>124.54545454545453</v>
      </c>
      <c r="R489" s="32">
        <v>68.5</v>
      </c>
      <c r="S489" s="33">
        <v>0.33</v>
      </c>
      <c r="T489" s="34">
        <f t="shared" si="15"/>
        <v>102.23880597014926</v>
      </c>
      <c r="U489" s="34">
        <f t="shared" si="16"/>
        <v>103.51679104477611</v>
      </c>
      <c r="V489" t="s">
        <v>79</v>
      </c>
      <c r="W489" s="32">
        <v>15</v>
      </c>
      <c r="X489" s="32" t="s">
        <v>80</v>
      </c>
      <c r="AD489" s="1">
        <v>194917995426</v>
      </c>
      <c r="AN489">
        <v>30</v>
      </c>
      <c r="AO489" t="s">
        <v>81</v>
      </c>
    </row>
    <row r="490" spans="1:41" ht="90" x14ac:dyDescent="0.25">
      <c r="A490" s="2">
        <v>194917894408</v>
      </c>
      <c r="B490" t="s">
        <v>71</v>
      </c>
      <c r="C490" t="s">
        <v>72</v>
      </c>
      <c r="D490" t="s">
        <v>1491</v>
      </c>
      <c r="E490" t="s">
        <v>1492</v>
      </c>
      <c r="F490">
        <v>316210</v>
      </c>
      <c r="G490" s="35" t="s">
        <v>1408</v>
      </c>
      <c r="H490" s="31" t="s">
        <v>1493</v>
      </c>
      <c r="J490" t="s">
        <v>77</v>
      </c>
      <c r="M490">
        <v>130</v>
      </c>
      <c r="P490" t="s">
        <v>78</v>
      </c>
      <c r="Q490" s="55">
        <v>124.54545454545453</v>
      </c>
      <c r="R490" s="32">
        <v>68.5</v>
      </c>
      <c r="S490" s="33">
        <v>0.33</v>
      </c>
      <c r="T490" s="34">
        <f t="shared" si="15"/>
        <v>102.23880597014926</v>
      </c>
      <c r="U490" s="34">
        <f t="shared" si="16"/>
        <v>103.51679104477611</v>
      </c>
      <c r="V490" t="s">
        <v>79</v>
      </c>
      <c r="W490" s="32">
        <v>15</v>
      </c>
      <c r="X490" s="32" t="s">
        <v>80</v>
      </c>
      <c r="AD490" s="1">
        <v>194917894408</v>
      </c>
      <c r="AN490">
        <v>30</v>
      </c>
      <c r="AO490" t="s">
        <v>81</v>
      </c>
    </row>
    <row r="491" spans="1:41" ht="90" x14ac:dyDescent="0.25">
      <c r="A491" s="2">
        <v>194917995433</v>
      </c>
      <c r="B491" t="s">
        <v>71</v>
      </c>
      <c r="C491" t="s">
        <v>72</v>
      </c>
      <c r="D491" t="s">
        <v>1494</v>
      </c>
      <c r="E491" t="s">
        <v>1495</v>
      </c>
      <c r="F491">
        <v>316210</v>
      </c>
      <c r="G491" s="35" t="s">
        <v>1408</v>
      </c>
      <c r="H491" s="31" t="s">
        <v>1496</v>
      </c>
      <c r="J491" t="s">
        <v>77</v>
      </c>
      <c r="M491">
        <v>130</v>
      </c>
      <c r="P491" t="s">
        <v>78</v>
      </c>
      <c r="Q491" s="55">
        <v>124.54545454545453</v>
      </c>
      <c r="R491" s="32">
        <v>68.5</v>
      </c>
      <c r="S491" s="33">
        <v>0.33</v>
      </c>
      <c r="T491" s="34">
        <f t="shared" si="15"/>
        <v>102.23880597014926</v>
      </c>
      <c r="U491" s="34">
        <f t="shared" si="16"/>
        <v>103.51679104477611</v>
      </c>
      <c r="V491" t="s">
        <v>79</v>
      </c>
      <c r="W491" s="32">
        <v>15</v>
      </c>
      <c r="X491" s="32" t="s">
        <v>80</v>
      </c>
      <c r="AD491" s="1">
        <v>194917995433</v>
      </c>
      <c r="AN491">
        <v>30</v>
      </c>
      <c r="AO491" t="s">
        <v>81</v>
      </c>
    </row>
    <row r="492" spans="1:41" ht="90" x14ac:dyDescent="0.25">
      <c r="A492" s="2">
        <v>194917894415</v>
      </c>
      <c r="B492" t="s">
        <v>71</v>
      </c>
      <c r="C492" t="s">
        <v>72</v>
      </c>
      <c r="D492" t="s">
        <v>1497</v>
      </c>
      <c r="E492" t="s">
        <v>1498</v>
      </c>
      <c r="F492">
        <v>316210</v>
      </c>
      <c r="G492" s="35" t="s">
        <v>1408</v>
      </c>
      <c r="H492" s="31" t="s">
        <v>1499</v>
      </c>
      <c r="J492" t="s">
        <v>77</v>
      </c>
      <c r="M492">
        <v>130</v>
      </c>
      <c r="P492" t="s">
        <v>78</v>
      </c>
      <c r="Q492" s="55">
        <v>124.54545454545453</v>
      </c>
      <c r="R492" s="32">
        <v>68.5</v>
      </c>
      <c r="S492" s="33">
        <v>0.33</v>
      </c>
      <c r="T492" s="34">
        <f t="shared" si="15"/>
        <v>102.23880597014926</v>
      </c>
      <c r="U492" s="34">
        <f t="shared" si="16"/>
        <v>103.51679104477611</v>
      </c>
      <c r="V492" t="s">
        <v>79</v>
      </c>
      <c r="W492" s="32">
        <v>15</v>
      </c>
      <c r="X492" s="32" t="s">
        <v>80</v>
      </c>
      <c r="AD492" s="1">
        <v>194917894415</v>
      </c>
      <c r="AN492">
        <v>30</v>
      </c>
      <c r="AO492" t="s">
        <v>81</v>
      </c>
    </row>
    <row r="493" spans="1:41" ht="90" x14ac:dyDescent="0.25">
      <c r="A493" s="2">
        <v>194917995440</v>
      </c>
      <c r="B493" t="s">
        <v>71</v>
      </c>
      <c r="C493" t="s">
        <v>72</v>
      </c>
      <c r="D493" t="s">
        <v>1500</v>
      </c>
      <c r="E493" t="s">
        <v>1501</v>
      </c>
      <c r="F493">
        <v>316210</v>
      </c>
      <c r="G493" s="35" t="s">
        <v>1408</v>
      </c>
      <c r="H493" s="31" t="s">
        <v>1502</v>
      </c>
      <c r="J493" t="s">
        <v>77</v>
      </c>
      <c r="M493">
        <v>130</v>
      </c>
      <c r="P493" t="s">
        <v>78</v>
      </c>
      <c r="Q493" s="55">
        <v>124.54545454545453</v>
      </c>
      <c r="R493" s="32">
        <v>68.5</v>
      </c>
      <c r="S493" s="33">
        <v>0.33</v>
      </c>
      <c r="T493" s="34">
        <f t="shared" si="15"/>
        <v>102.23880597014926</v>
      </c>
      <c r="U493" s="34">
        <f t="shared" si="16"/>
        <v>103.51679104477611</v>
      </c>
      <c r="V493" t="s">
        <v>79</v>
      </c>
      <c r="W493" s="32">
        <v>15</v>
      </c>
      <c r="X493" s="32" t="s">
        <v>80</v>
      </c>
      <c r="AD493" s="1">
        <v>194917995440</v>
      </c>
      <c r="AN493">
        <v>30</v>
      </c>
      <c r="AO493" t="s">
        <v>81</v>
      </c>
    </row>
    <row r="494" spans="1:41" ht="90" x14ac:dyDescent="0.25">
      <c r="A494" s="2">
        <v>194917894422</v>
      </c>
      <c r="B494" t="s">
        <v>71</v>
      </c>
      <c r="C494" t="s">
        <v>72</v>
      </c>
      <c r="D494" t="s">
        <v>1503</v>
      </c>
      <c r="E494" t="s">
        <v>1504</v>
      </c>
      <c r="F494">
        <v>316210</v>
      </c>
      <c r="G494" s="35" t="s">
        <v>1408</v>
      </c>
      <c r="H494" s="31" t="s">
        <v>1505</v>
      </c>
      <c r="J494" t="s">
        <v>77</v>
      </c>
      <c r="M494">
        <v>130</v>
      </c>
      <c r="P494" t="s">
        <v>78</v>
      </c>
      <c r="Q494" s="55">
        <v>124.54545454545453</v>
      </c>
      <c r="R494" s="32">
        <v>68.5</v>
      </c>
      <c r="S494" s="33">
        <v>0.33</v>
      </c>
      <c r="T494" s="34">
        <f t="shared" si="15"/>
        <v>102.23880597014926</v>
      </c>
      <c r="U494" s="34">
        <f t="shared" si="16"/>
        <v>103.51679104477611</v>
      </c>
      <c r="V494" t="s">
        <v>79</v>
      </c>
      <c r="W494" s="32">
        <v>15</v>
      </c>
      <c r="X494" s="32" t="s">
        <v>80</v>
      </c>
      <c r="AD494" s="1">
        <v>194917894422</v>
      </c>
      <c r="AN494">
        <v>30</v>
      </c>
      <c r="AO494" t="s">
        <v>81</v>
      </c>
    </row>
    <row r="495" spans="1:41" ht="90" x14ac:dyDescent="0.25">
      <c r="A495" s="2">
        <v>194917995457</v>
      </c>
      <c r="B495" t="s">
        <v>71</v>
      </c>
      <c r="C495" t="s">
        <v>72</v>
      </c>
      <c r="D495" t="s">
        <v>1506</v>
      </c>
      <c r="E495" t="s">
        <v>1507</v>
      </c>
      <c r="F495">
        <v>316210</v>
      </c>
      <c r="G495" s="35" t="s">
        <v>1408</v>
      </c>
      <c r="H495" s="31" t="s">
        <v>1508</v>
      </c>
      <c r="J495" t="s">
        <v>77</v>
      </c>
      <c r="M495">
        <v>130</v>
      </c>
      <c r="P495" t="s">
        <v>78</v>
      </c>
      <c r="Q495" s="55">
        <v>124.54545454545453</v>
      </c>
      <c r="R495" s="32">
        <v>68.5</v>
      </c>
      <c r="S495" s="33">
        <v>0.33</v>
      </c>
      <c r="T495" s="34">
        <f t="shared" si="15"/>
        <v>102.23880597014926</v>
      </c>
      <c r="U495" s="34">
        <f t="shared" si="16"/>
        <v>103.51679104477611</v>
      </c>
      <c r="V495" t="s">
        <v>79</v>
      </c>
      <c r="W495" s="32">
        <v>15</v>
      </c>
      <c r="X495" s="32" t="s">
        <v>80</v>
      </c>
      <c r="AD495" s="1">
        <v>194917995457</v>
      </c>
      <c r="AN495">
        <v>30</v>
      </c>
      <c r="AO495" t="s">
        <v>81</v>
      </c>
    </row>
    <row r="496" spans="1:41" ht="90" x14ac:dyDescent="0.25">
      <c r="A496" s="2">
        <v>194917894576</v>
      </c>
      <c r="B496" t="s">
        <v>71</v>
      </c>
      <c r="C496" t="s">
        <v>72</v>
      </c>
      <c r="D496" t="s">
        <v>1509</v>
      </c>
      <c r="E496" t="s">
        <v>1510</v>
      </c>
      <c r="F496">
        <v>316210</v>
      </c>
      <c r="G496" s="35" t="s">
        <v>1511</v>
      </c>
      <c r="H496" s="31" t="s">
        <v>1512</v>
      </c>
      <c r="J496" t="s">
        <v>77</v>
      </c>
      <c r="M496">
        <v>130</v>
      </c>
      <c r="P496" t="s">
        <v>78</v>
      </c>
      <c r="Q496" s="55">
        <v>124.54545454545453</v>
      </c>
      <c r="R496" s="32">
        <v>68.5</v>
      </c>
      <c r="S496" s="33">
        <v>0.33</v>
      </c>
      <c r="T496" s="34">
        <f t="shared" si="15"/>
        <v>102.23880597014926</v>
      </c>
      <c r="U496" s="34">
        <f t="shared" si="16"/>
        <v>103.51679104477611</v>
      </c>
      <c r="V496" t="s">
        <v>79</v>
      </c>
      <c r="W496" s="32">
        <v>15</v>
      </c>
      <c r="X496" s="32" t="s">
        <v>80</v>
      </c>
      <c r="AD496" s="1">
        <v>194917894576</v>
      </c>
      <c r="AN496">
        <v>30</v>
      </c>
      <c r="AO496" t="s">
        <v>81</v>
      </c>
    </row>
    <row r="497" spans="1:41" ht="90" x14ac:dyDescent="0.25">
      <c r="A497" s="2">
        <v>194917993316</v>
      </c>
      <c r="B497" t="s">
        <v>71</v>
      </c>
      <c r="C497" t="s">
        <v>72</v>
      </c>
      <c r="D497" t="s">
        <v>1513</v>
      </c>
      <c r="E497" t="s">
        <v>1514</v>
      </c>
      <c r="F497">
        <v>316210</v>
      </c>
      <c r="G497" s="35" t="s">
        <v>1511</v>
      </c>
      <c r="H497" s="31" t="s">
        <v>1515</v>
      </c>
      <c r="J497" t="s">
        <v>77</v>
      </c>
      <c r="M497">
        <v>130</v>
      </c>
      <c r="P497" t="s">
        <v>78</v>
      </c>
      <c r="Q497" s="55">
        <v>124.54545454545453</v>
      </c>
      <c r="R497" s="32">
        <v>68.5</v>
      </c>
      <c r="S497" s="33">
        <v>0.33</v>
      </c>
      <c r="T497" s="34">
        <f t="shared" si="15"/>
        <v>102.23880597014926</v>
      </c>
      <c r="U497" s="34">
        <f t="shared" si="16"/>
        <v>103.51679104477611</v>
      </c>
      <c r="V497" t="s">
        <v>79</v>
      </c>
      <c r="W497" s="32">
        <v>15</v>
      </c>
      <c r="X497" s="32" t="s">
        <v>80</v>
      </c>
      <c r="AD497" s="1">
        <v>194917993316</v>
      </c>
      <c r="AN497">
        <v>30</v>
      </c>
      <c r="AO497" t="s">
        <v>81</v>
      </c>
    </row>
    <row r="498" spans="1:41" ht="90" x14ac:dyDescent="0.25">
      <c r="A498" s="2">
        <v>194917894583</v>
      </c>
      <c r="B498" t="s">
        <v>71</v>
      </c>
      <c r="C498" t="s">
        <v>72</v>
      </c>
      <c r="D498" t="s">
        <v>1516</v>
      </c>
      <c r="E498" t="s">
        <v>1517</v>
      </c>
      <c r="F498">
        <v>316210</v>
      </c>
      <c r="G498" s="35" t="s">
        <v>1511</v>
      </c>
      <c r="H498" s="31" t="s">
        <v>1518</v>
      </c>
      <c r="J498" t="s">
        <v>77</v>
      </c>
      <c r="M498">
        <v>130</v>
      </c>
      <c r="P498" t="s">
        <v>78</v>
      </c>
      <c r="Q498" s="55">
        <v>124.54545454545453</v>
      </c>
      <c r="R498" s="32">
        <v>68.5</v>
      </c>
      <c r="S498" s="33">
        <v>0.33</v>
      </c>
      <c r="T498" s="34">
        <f t="shared" si="15"/>
        <v>102.23880597014926</v>
      </c>
      <c r="U498" s="34">
        <f t="shared" si="16"/>
        <v>103.51679104477611</v>
      </c>
      <c r="V498" t="s">
        <v>79</v>
      </c>
      <c r="W498" s="32">
        <v>15</v>
      </c>
      <c r="X498" s="32" t="s">
        <v>80</v>
      </c>
      <c r="AD498" s="1">
        <v>194917894583</v>
      </c>
      <c r="AN498">
        <v>30</v>
      </c>
      <c r="AO498" t="s">
        <v>81</v>
      </c>
    </row>
    <row r="499" spans="1:41" ht="90" x14ac:dyDescent="0.25">
      <c r="A499" s="2">
        <v>194917993323</v>
      </c>
      <c r="B499" t="s">
        <v>71</v>
      </c>
      <c r="C499" t="s">
        <v>72</v>
      </c>
      <c r="D499" t="s">
        <v>1519</v>
      </c>
      <c r="E499" t="s">
        <v>1520</v>
      </c>
      <c r="F499">
        <v>316210</v>
      </c>
      <c r="G499" s="35" t="s">
        <v>1511</v>
      </c>
      <c r="H499" s="31" t="s">
        <v>1521</v>
      </c>
      <c r="J499" t="s">
        <v>77</v>
      </c>
      <c r="M499">
        <v>130</v>
      </c>
      <c r="P499" t="s">
        <v>78</v>
      </c>
      <c r="Q499" s="55">
        <v>124.54545454545453</v>
      </c>
      <c r="R499" s="32">
        <v>68.5</v>
      </c>
      <c r="S499" s="33">
        <v>0.33</v>
      </c>
      <c r="T499" s="34">
        <f t="shared" si="15"/>
        <v>102.23880597014926</v>
      </c>
      <c r="U499" s="34">
        <f t="shared" si="16"/>
        <v>103.51679104477611</v>
      </c>
      <c r="V499" t="s">
        <v>79</v>
      </c>
      <c r="W499" s="32">
        <v>15</v>
      </c>
      <c r="X499" s="32" t="s">
        <v>80</v>
      </c>
      <c r="AD499" s="1">
        <v>194917993323</v>
      </c>
      <c r="AN499">
        <v>30</v>
      </c>
      <c r="AO499" t="s">
        <v>81</v>
      </c>
    </row>
    <row r="500" spans="1:41" ht="90" x14ac:dyDescent="0.25">
      <c r="A500" s="2">
        <v>194917894590</v>
      </c>
      <c r="B500" t="s">
        <v>71</v>
      </c>
      <c r="C500" t="s">
        <v>72</v>
      </c>
      <c r="D500" t="s">
        <v>1522</v>
      </c>
      <c r="E500" t="s">
        <v>1523</v>
      </c>
      <c r="F500">
        <v>316210</v>
      </c>
      <c r="G500" s="35" t="s">
        <v>1511</v>
      </c>
      <c r="H500" s="31" t="s">
        <v>1524</v>
      </c>
      <c r="J500" t="s">
        <v>77</v>
      </c>
      <c r="M500">
        <v>130</v>
      </c>
      <c r="P500" t="s">
        <v>78</v>
      </c>
      <c r="Q500" s="55">
        <v>124.54545454545453</v>
      </c>
      <c r="R500" s="32">
        <v>68.5</v>
      </c>
      <c r="S500" s="33">
        <v>0.33</v>
      </c>
      <c r="T500" s="34">
        <f t="shared" si="15"/>
        <v>102.23880597014926</v>
      </c>
      <c r="U500" s="34">
        <f t="shared" si="16"/>
        <v>103.51679104477611</v>
      </c>
      <c r="V500" t="s">
        <v>79</v>
      </c>
      <c r="W500" s="32">
        <v>15</v>
      </c>
      <c r="X500" s="32" t="s">
        <v>80</v>
      </c>
      <c r="AD500" s="1">
        <v>194917894590</v>
      </c>
      <c r="AN500">
        <v>30</v>
      </c>
      <c r="AO500" t="s">
        <v>81</v>
      </c>
    </row>
    <row r="501" spans="1:41" ht="90" x14ac:dyDescent="0.25">
      <c r="A501" s="2">
        <v>194917993330</v>
      </c>
      <c r="B501" t="s">
        <v>71</v>
      </c>
      <c r="C501" t="s">
        <v>72</v>
      </c>
      <c r="D501" t="s">
        <v>1525</v>
      </c>
      <c r="E501" t="s">
        <v>1526</v>
      </c>
      <c r="F501">
        <v>316210</v>
      </c>
      <c r="G501" s="35" t="s">
        <v>1511</v>
      </c>
      <c r="H501" s="31" t="s">
        <v>1527</v>
      </c>
      <c r="J501" t="s">
        <v>77</v>
      </c>
      <c r="M501">
        <v>130</v>
      </c>
      <c r="P501" t="s">
        <v>78</v>
      </c>
      <c r="Q501" s="55">
        <v>124.54545454545453</v>
      </c>
      <c r="R501" s="32">
        <v>68.5</v>
      </c>
      <c r="S501" s="33">
        <v>0.33</v>
      </c>
      <c r="T501" s="34">
        <f t="shared" si="15"/>
        <v>102.23880597014926</v>
      </c>
      <c r="U501" s="34">
        <f t="shared" si="16"/>
        <v>103.51679104477611</v>
      </c>
      <c r="V501" t="s">
        <v>79</v>
      </c>
      <c r="W501" s="32">
        <v>15</v>
      </c>
      <c r="X501" s="32" t="s">
        <v>80</v>
      </c>
      <c r="AD501" s="1">
        <v>194917993330</v>
      </c>
      <c r="AN501">
        <v>30</v>
      </c>
      <c r="AO501" t="s">
        <v>81</v>
      </c>
    </row>
    <row r="502" spans="1:41" ht="90" x14ac:dyDescent="0.25">
      <c r="A502" s="2">
        <v>194917894606</v>
      </c>
      <c r="B502" t="s">
        <v>71</v>
      </c>
      <c r="C502" t="s">
        <v>72</v>
      </c>
      <c r="D502" t="s">
        <v>1528</v>
      </c>
      <c r="E502" t="s">
        <v>1529</v>
      </c>
      <c r="F502">
        <v>316210</v>
      </c>
      <c r="G502" s="35" t="s">
        <v>1511</v>
      </c>
      <c r="H502" s="31" t="s">
        <v>1530</v>
      </c>
      <c r="J502" t="s">
        <v>77</v>
      </c>
      <c r="M502">
        <v>130</v>
      </c>
      <c r="P502" t="s">
        <v>78</v>
      </c>
      <c r="Q502" s="55">
        <v>124.54545454545453</v>
      </c>
      <c r="R502" s="32">
        <v>68.5</v>
      </c>
      <c r="S502" s="33">
        <v>0.33</v>
      </c>
      <c r="T502" s="34">
        <f t="shared" si="15"/>
        <v>102.23880597014926</v>
      </c>
      <c r="U502" s="34">
        <f t="shared" si="16"/>
        <v>103.51679104477611</v>
      </c>
      <c r="V502" t="s">
        <v>79</v>
      </c>
      <c r="W502" s="32">
        <v>15</v>
      </c>
      <c r="X502" s="32" t="s">
        <v>80</v>
      </c>
      <c r="AD502" s="1">
        <v>194917894606</v>
      </c>
      <c r="AN502">
        <v>30</v>
      </c>
      <c r="AO502" t="s">
        <v>81</v>
      </c>
    </row>
    <row r="503" spans="1:41" ht="90" x14ac:dyDescent="0.25">
      <c r="A503" s="2">
        <v>194917993347</v>
      </c>
      <c r="B503" t="s">
        <v>71</v>
      </c>
      <c r="C503" t="s">
        <v>72</v>
      </c>
      <c r="D503" t="s">
        <v>1531</v>
      </c>
      <c r="E503" t="s">
        <v>1532</v>
      </c>
      <c r="F503">
        <v>316210</v>
      </c>
      <c r="G503" s="35" t="s">
        <v>1511</v>
      </c>
      <c r="H503" s="31" t="s">
        <v>1533</v>
      </c>
      <c r="J503" t="s">
        <v>77</v>
      </c>
      <c r="M503">
        <v>130</v>
      </c>
      <c r="P503" t="s">
        <v>78</v>
      </c>
      <c r="Q503" s="55">
        <v>124.54545454545453</v>
      </c>
      <c r="R503" s="32">
        <v>68.5</v>
      </c>
      <c r="S503" s="33">
        <v>0.33</v>
      </c>
      <c r="T503" s="34">
        <f t="shared" si="15"/>
        <v>102.23880597014926</v>
      </c>
      <c r="U503" s="34">
        <f t="shared" si="16"/>
        <v>103.51679104477611</v>
      </c>
      <c r="V503" t="s">
        <v>79</v>
      </c>
      <c r="W503" s="32">
        <v>15</v>
      </c>
      <c r="X503" s="32" t="s">
        <v>80</v>
      </c>
      <c r="AD503" s="1">
        <v>194917993347</v>
      </c>
      <c r="AN503">
        <v>30</v>
      </c>
      <c r="AO503" t="s">
        <v>81</v>
      </c>
    </row>
    <row r="504" spans="1:41" ht="90" x14ac:dyDescent="0.25">
      <c r="A504" s="2">
        <v>194917894613</v>
      </c>
      <c r="B504" t="s">
        <v>71</v>
      </c>
      <c r="C504" t="s">
        <v>72</v>
      </c>
      <c r="D504" t="s">
        <v>1534</v>
      </c>
      <c r="E504" t="s">
        <v>1535</v>
      </c>
      <c r="F504">
        <v>316210</v>
      </c>
      <c r="G504" s="35" t="s">
        <v>1511</v>
      </c>
      <c r="H504" s="31" t="s">
        <v>1536</v>
      </c>
      <c r="J504" t="s">
        <v>77</v>
      </c>
      <c r="M504">
        <v>130</v>
      </c>
      <c r="P504" t="s">
        <v>78</v>
      </c>
      <c r="Q504" s="55">
        <v>124.54545454545453</v>
      </c>
      <c r="R504" s="32">
        <v>68.5</v>
      </c>
      <c r="S504" s="33">
        <v>0.33</v>
      </c>
      <c r="T504" s="34">
        <f t="shared" si="15"/>
        <v>102.23880597014926</v>
      </c>
      <c r="U504" s="34">
        <f t="shared" si="16"/>
        <v>103.51679104477611</v>
      </c>
      <c r="V504" t="s">
        <v>79</v>
      </c>
      <c r="W504" s="32">
        <v>15</v>
      </c>
      <c r="X504" s="32" t="s">
        <v>80</v>
      </c>
      <c r="AD504" s="1">
        <v>194917894613</v>
      </c>
      <c r="AN504">
        <v>30</v>
      </c>
      <c r="AO504" t="s">
        <v>81</v>
      </c>
    </row>
    <row r="505" spans="1:41" ht="90" x14ac:dyDescent="0.25">
      <c r="A505" s="2">
        <v>194917993354</v>
      </c>
      <c r="B505" t="s">
        <v>71</v>
      </c>
      <c r="C505" t="s">
        <v>72</v>
      </c>
      <c r="D505" t="s">
        <v>1537</v>
      </c>
      <c r="E505" t="s">
        <v>1538</v>
      </c>
      <c r="F505">
        <v>316210</v>
      </c>
      <c r="G505" s="35" t="s">
        <v>1511</v>
      </c>
      <c r="H505" s="31" t="s">
        <v>1539</v>
      </c>
      <c r="J505" t="s">
        <v>77</v>
      </c>
      <c r="M505">
        <v>130</v>
      </c>
      <c r="P505" t="s">
        <v>78</v>
      </c>
      <c r="Q505" s="55">
        <v>124.54545454545453</v>
      </c>
      <c r="R505" s="32">
        <v>68.5</v>
      </c>
      <c r="S505" s="33">
        <v>0.33</v>
      </c>
      <c r="T505" s="34">
        <f t="shared" si="15"/>
        <v>102.23880597014926</v>
      </c>
      <c r="U505" s="34">
        <f t="shared" si="16"/>
        <v>103.51679104477611</v>
      </c>
      <c r="V505" t="s">
        <v>79</v>
      </c>
      <c r="W505" s="32">
        <v>15</v>
      </c>
      <c r="X505" s="32" t="s">
        <v>80</v>
      </c>
      <c r="AD505" s="1">
        <v>194917993354</v>
      </c>
      <c r="AN505">
        <v>30</v>
      </c>
      <c r="AO505" t="s">
        <v>81</v>
      </c>
    </row>
    <row r="506" spans="1:41" ht="90" x14ac:dyDescent="0.25">
      <c r="A506" s="2">
        <v>194917894620</v>
      </c>
      <c r="B506" t="s">
        <v>71</v>
      </c>
      <c r="C506" t="s">
        <v>72</v>
      </c>
      <c r="D506" t="s">
        <v>1540</v>
      </c>
      <c r="E506" t="s">
        <v>1541</v>
      </c>
      <c r="F506">
        <v>316210</v>
      </c>
      <c r="G506" s="35" t="s">
        <v>1511</v>
      </c>
      <c r="H506" s="31" t="s">
        <v>1542</v>
      </c>
      <c r="J506" t="s">
        <v>77</v>
      </c>
      <c r="M506">
        <v>130</v>
      </c>
      <c r="P506" t="s">
        <v>78</v>
      </c>
      <c r="Q506" s="55">
        <v>124.54545454545453</v>
      </c>
      <c r="R506" s="32">
        <v>68.5</v>
      </c>
      <c r="S506" s="33">
        <v>0.33</v>
      </c>
      <c r="T506" s="34">
        <f t="shared" si="15"/>
        <v>102.23880597014926</v>
      </c>
      <c r="U506" s="34">
        <f t="shared" si="16"/>
        <v>103.51679104477611</v>
      </c>
      <c r="V506" t="s">
        <v>79</v>
      </c>
      <c r="W506" s="32">
        <v>15</v>
      </c>
      <c r="X506" s="32" t="s">
        <v>80</v>
      </c>
      <c r="AD506" s="1">
        <v>194917894620</v>
      </c>
      <c r="AN506">
        <v>30</v>
      </c>
      <c r="AO506" t="s">
        <v>81</v>
      </c>
    </row>
    <row r="507" spans="1:41" ht="90" x14ac:dyDescent="0.25">
      <c r="A507" s="2">
        <v>194917993361</v>
      </c>
      <c r="B507" t="s">
        <v>71</v>
      </c>
      <c r="C507" t="s">
        <v>72</v>
      </c>
      <c r="D507" t="s">
        <v>1543</v>
      </c>
      <c r="E507" t="s">
        <v>1544</v>
      </c>
      <c r="F507">
        <v>316210</v>
      </c>
      <c r="G507" s="35" t="s">
        <v>1511</v>
      </c>
      <c r="H507" s="31" t="s">
        <v>1545</v>
      </c>
      <c r="J507" t="s">
        <v>77</v>
      </c>
      <c r="M507">
        <v>130</v>
      </c>
      <c r="P507" t="s">
        <v>78</v>
      </c>
      <c r="Q507" s="55">
        <v>124.54545454545453</v>
      </c>
      <c r="R507" s="32">
        <v>68.5</v>
      </c>
      <c r="S507" s="33">
        <v>0.33</v>
      </c>
      <c r="T507" s="34">
        <f t="shared" si="15"/>
        <v>102.23880597014926</v>
      </c>
      <c r="U507" s="34">
        <f t="shared" si="16"/>
        <v>103.51679104477611</v>
      </c>
      <c r="V507" t="s">
        <v>79</v>
      </c>
      <c r="W507" s="32">
        <v>15</v>
      </c>
      <c r="X507" s="32" t="s">
        <v>80</v>
      </c>
      <c r="AD507" s="1">
        <v>194917993361</v>
      </c>
      <c r="AN507">
        <v>30</v>
      </c>
      <c r="AO507" t="s">
        <v>81</v>
      </c>
    </row>
    <row r="508" spans="1:41" ht="90" x14ac:dyDescent="0.25">
      <c r="A508" s="2">
        <v>194917894637</v>
      </c>
      <c r="B508" t="s">
        <v>71</v>
      </c>
      <c r="C508" t="s">
        <v>72</v>
      </c>
      <c r="D508" t="s">
        <v>1546</v>
      </c>
      <c r="E508" t="s">
        <v>1547</v>
      </c>
      <c r="F508">
        <v>316210</v>
      </c>
      <c r="G508" s="35" t="s">
        <v>1511</v>
      </c>
      <c r="H508" s="31" t="s">
        <v>1548</v>
      </c>
      <c r="J508" t="s">
        <v>77</v>
      </c>
      <c r="M508">
        <v>130</v>
      </c>
      <c r="P508" t="s">
        <v>78</v>
      </c>
      <c r="Q508" s="55">
        <v>124.54545454545453</v>
      </c>
      <c r="R508" s="32">
        <v>68.5</v>
      </c>
      <c r="S508" s="33">
        <v>0.33</v>
      </c>
      <c r="T508" s="34">
        <f t="shared" si="15"/>
        <v>102.23880597014926</v>
      </c>
      <c r="U508" s="34">
        <f t="shared" si="16"/>
        <v>103.51679104477611</v>
      </c>
      <c r="V508" t="s">
        <v>79</v>
      </c>
      <c r="W508" s="32">
        <v>15</v>
      </c>
      <c r="X508" s="32" t="s">
        <v>80</v>
      </c>
      <c r="AD508" s="1">
        <v>194917894637</v>
      </c>
      <c r="AN508">
        <v>30</v>
      </c>
      <c r="AO508" t="s">
        <v>81</v>
      </c>
    </row>
    <row r="509" spans="1:41" ht="90" x14ac:dyDescent="0.25">
      <c r="A509" s="2">
        <v>194917993378</v>
      </c>
      <c r="B509" t="s">
        <v>71</v>
      </c>
      <c r="C509" t="s">
        <v>72</v>
      </c>
      <c r="D509" t="s">
        <v>1549</v>
      </c>
      <c r="E509" t="s">
        <v>1550</v>
      </c>
      <c r="F509">
        <v>316210</v>
      </c>
      <c r="G509" s="35" t="s">
        <v>1511</v>
      </c>
      <c r="H509" s="31" t="s">
        <v>1551</v>
      </c>
      <c r="J509" t="s">
        <v>77</v>
      </c>
      <c r="M509">
        <v>130</v>
      </c>
      <c r="P509" t="s">
        <v>78</v>
      </c>
      <c r="Q509" s="55">
        <v>124.54545454545453</v>
      </c>
      <c r="R509" s="32">
        <v>68.5</v>
      </c>
      <c r="S509" s="33">
        <v>0.33</v>
      </c>
      <c r="T509" s="34">
        <f t="shared" si="15"/>
        <v>102.23880597014926</v>
      </c>
      <c r="U509" s="34">
        <f t="shared" si="16"/>
        <v>103.51679104477611</v>
      </c>
      <c r="V509" t="s">
        <v>79</v>
      </c>
      <c r="W509" s="32">
        <v>15</v>
      </c>
      <c r="X509" s="32" t="s">
        <v>80</v>
      </c>
      <c r="AD509" s="1">
        <v>194917993378</v>
      </c>
      <c r="AN509">
        <v>30</v>
      </c>
      <c r="AO509" t="s">
        <v>81</v>
      </c>
    </row>
    <row r="510" spans="1:41" ht="90" x14ac:dyDescent="0.25">
      <c r="A510" s="2">
        <v>194917894644</v>
      </c>
      <c r="B510" t="s">
        <v>71</v>
      </c>
      <c r="C510" t="s">
        <v>72</v>
      </c>
      <c r="D510" t="s">
        <v>1552</v>
      </c>
      <c r="E510" t="s">
        <v>1553</v>
      </c>
      <c r="F510">
        <v>316210</v>
      </c>
      <c r="G510" s="35" t="s">
        <v>1511</v>
      </c>
      <c r="H510" s="31" t="s">
        <v>1554</v>
      </c>
      <c r="J510" t="s">
        <v>77</v>
      </c>
      <c r="M510">
        <v>130</v>
      </c>
      <c r="P510" t="s">
        <v>78</v>
      </c>
      <c r="Q510" s="55">
        <v>124.54545454545453</v>
      </c>
      <c r="R510" s="32">
        <v>68.5</v>
      </c>
      <c r="S510" s="33">
        <v>0.33</v>
      </c>
      <c r="T510" s="34">
        <f t="shared" si="15"/>
        <v>102.23880597014926</v>
      </c>
      <c r="U510" s="34">
        <f t="shared" si="16"/>
        <v>103.51679104477611</v>
      </c>
      <c r="V510" t="s">
        <v>79</v>
      </c>
      <c r="W510" s="32">
        <v>15</v>
      </c>
      <c r="X510" s="32" t="s">
        <v>80</v>
      </c>
      <c r="AD510" s="1">
        <v>194917894644</v>
      </c>
      <c r="AN510">
        <v>30</v>
      </c>
      <c r="AO510" t="s">
        <v>81</v>
      </c>
    </row>
    <row r="511" spans="1:41" ht="90" x14ac:dyDescent="0.25">
      <c r="A511" s="2">
        <v>194917993385</v>
      </c>
      <c r="B511" t="s">
        <v>71</v>
      </c>
      <c r="C511" t="s">
        <v>72</v>
      </c>
      <c r="D511" t="s">
        <v>1555</v>
      </c>
      <c r="E511" t="s">
        <v>1556</v>
      </c>
      <c r="F511">
        <v>316210</v>
      </c>
      <c r="G511" s="35" t="s">
        <v>1511</v>
      </c>
      <c r="H511" s="31" t="s">
        <v>1557</v>
      </c>
      <c r="J511" t="s">
        <v>77</v>
      </c>
      <c r="M511">
        <v>130</v>
      </c>
      <c r="P511" t="s">
        <v>78</v>
      </c>
      <c r="Q511" s="55">
        <v>124.54545454545453</v>
      </c>
      <c r="R511" s="32">
        <v>68.5</v>
      </c>
      <c r="S511" s="33">
        <v>0.33</v>
      </c>
      <c r="T511" s="34">
        <f t="shared" si="15"/>
        <v>102.23880597014926</v>
      </c>
      <c r="U511" s="34">
        <f t="shared" si="16"/>
        <v>103.51679104477611</v>
      </c>
      <c r="V511" t="s">
        <v>79</v>
      </c>
      <c r="W511" s="32">
        <v>15</v>
      </c>
      <c r="X511" s="32" t="s">
        <v>80</v>
      </c>
      <c r="AD511" s="1">
        <v>194917993385</v>
      </c>
      <c r="AN511">
        <v>30</v>
      </c>
      <c r="AO511" t="s">
        <v>81</v>
      </c>
    </row>
    <row r="512" spans="1:41" ht="90" x14ac:dyDescent="0.25">
      <c r="A512" s="2">
        <v>194917894651</v>
      </c>
      <c r="B512" t="s">
        <v>71</v>
      </c>
      <c r="C512" t="s">
        <v>72</v>
      </c>
      <c r="D512" t="s">
        <v>1558</v>
      </c>
      <c r="E512" t="s">
        <v>1559</v>
      </c>
      <c r="F512">
        <v>316210</v>
      </c>
      <c r="G512" s="35" t="s">
        <v>1511</v>
      </c>
      <c r="H512" s="31" t="s">
        <v>1560</v>
      </c>
      <c r="J512" t="s">
        <v>77</v>
      </c>
      <c r="M512">
        <v>130</v>
      </c>
      <c r="P512" t="s">
        <v>78</v>
      </c>
      <c r="Q512" s="55">
        <v>124.54545454545453</v>
      </c>
      <c r="R512" s="32">
        <v>68.5</v>
      </c>
      <c r="S512" s="33">
        <v>0.33</v>
      </c>
      <c r="T512" s="34">
        <f t="shared" si="15"/>
        <v>102.23880597014926</v>
      </c>
      <c r="U512" s="34">
        <f t="shared" si="16"/>
        <v>103.51679104477611</v>
      </c>
      <c r="V512" t="s">
        <v>79</v>
      </c>
      <c r="W512" s="32">
        <v>15</v>
      </c>
      <c r="X512" s="32" t="s">
        <v>80</v>
      </c>
      <c r="AD512" s="1">
        <v>194917894651</v>
      </c>
      <c r="AN512">
        <v>30</v>
      </c>
      <c r="AO512" t="s">
        <v>81</v>
      </c>
    </row>
    <row r="513" spans="1:41" ht="90" x14ac:dyDescent="0.25">
      <c r="A513" s="2">
        <v>194917993392</v>
      </c>
      <c r="B513" t="s">
        <v>71</v>
      </c>
      <c r="C513" t="s">
        <v>72</v>
      </c>
      <c r="D513" t="s">
        <v>1561</v>
      </c>
      <c r="E513" t="s">
        <v>1562</v>
      </c>
      <c r="F513">
        <v>316210</v>
      </c>
      <c r="G513" s="35" t="s">
        <v>1511</v>
      </c>
      <c r="H513" s="31" t="s">
        <v>1563</v>
      </c>
      <c r="J513" t="s">
        <v>77</v>
      </c>
      <c r="M513">
        <v>130</v>
      </c>
      <c r="P513" t="s">
        <v>78</v>
      </c>
      <c r="Q513" s="55">
        <v>124.54545454545453</v>
      </c>
      <c r="R513" s="32">
        <v>68.5</v>
      </c>
      <c r="S513" s="33">
        <v>0.33</v>
      </c>
      <c r="T513" s="34">
        <f t="shared" si="15"/>
        <v>102.23880597014926</v>
      </c>
      <c r="U513" s="34">
        <f t="shared" si="16"/>
        <v>103.51679104477611</v>
      </c>
      <c r="V513" t="s">
        <v>79</v>
      </c>
      <c r="W513" s="32">
        <v>15</v>
      </c>
      <c r="X513" s="32" t="s">
        <v>80</v>
      </c>
      <c r="AD513" s="1">
        <v>194917993392</v>
      </c>
      <c r="AN513">
        <v>30</v>
      </c>
      <c r="AO513" t="s">
        <v>81</v>
      </c>
    </row>
    <row r="514" spans="1:41" ht="90" x14ac:dyDescent="0.25">
      <c r="A514" s="2">
        <v>194917894668</v>
      </c>
      <c r="B514" t="s">
        <v>71</v>
      </c>
      <c r="C514" t="s">
        <v>72</v>
      </c>
      <c r="D514" t="s">
        <v>1564</v>
      </c>
      <c r="E514" t="s">
        <v>1565</v>
      </c>
      <c r="F514">
        <v>316210</v>
      </c>
      <c r="G514" s="35" t="s">
        <v>1511</v>
      </c>
      <c r="H514" s="31" t="s">
        <v>1566</v>
      </c>
      <c r="J514" t="s">
        <v>77</v>
      </c>
      <c r="M514">
        <v>130</v>
      </c>
      <c r="P514" t="s">
        <v>78</v>
      </c>
      <c r="Q514" s="55">
        <v>124.54545454545453</v>
      </c>
      <c r="R514" s="32">
        <v>68.5</v>
      </c>
      <c r="S514" s="33">
        <v>0.33</v>
      </c>
      <c r="T514" s="34">
        <f t="shared" si="15"/>
        <v>102.23880597014926</v>
      </c>
      <c r="U514" s="34">
        <f t="shared" si="16"/>
        <v>103.51679104477611</v>
      </c>
      <c r="V514" t="s">
        <v>79</v>
      </c>
      <c r="W514" s="32">
        <v>15</v>
      </c>
      <c r="X514" s="32" t="s">
        <v>80</v>
      </c>
      <c r="AD514" s="1">
        <v>194917894668</v>
      </c>
      <c r="AN514">
        <v>30</v>
      </c>
      <c r="AO514" t="s">
        <v>81</v>
      </c>
    </row>
    <row r="515" spans="1:41" ht="90" x14ac:dyDescent="0.25">
      <c r="A515" s="2">
        <v>194917993408</v>
      </c>
      <c r="B515" t="s">
        <v>71</v>
      </c>
      <c r="C515" t="s">
        <v>72</v>
      </c>
      <c r="D515" t="s">
        <v>1567</v>
      </c>
      <c r="E515" t="s">
        <v>1568</v>
      </c>
      <c r="F515">
        <v>316210</v>
      </c>
      <c r="G515" s="35" t="s">
        <v>1511</v>
      </c>
      <c r="H515" s="31" t="s">
        <v>1569</v>
      </c>
      <c r="J515" t="s">
        <v>77</v>
      </c>
      <c r="M515">
        <v>130</v>
      </c>
      <c r="P515" t="s">
        <v>78</v>
      </c>
      <c r="Q515" s="55">
        <v>124.54545454545453</v>
      </c>
      <c r="R515" s="32">
        <v>68.5</v>
      </c>
      <c r="S515" s="33">
        <v>0.33</v>
      </c>
      <c r="T515" s="34">
        <f t="shared" si="15"/>
        <v>102.23880597014926</v>
      </c>
      <c r="U515" s="34">
        <f t="shared" si="16"/>
        <v>103.51679104477611</v>
      </c>
      <c r="V515" t="s">
        <v>79</v>
      </c>
      <c r="W515" s="32">
        <v>15</v>
      </c>
      <c r="X515" s="32" t="s">
        <v>80</v>
      </c>
      <c r="AD515" s="1">
        <v>194917993408</v>
      </c>
      <c r="AN515">
        <v>30</v>
      </c>
      <c r="AO515" t="s">
        <v>81</v>
      </c>
    </row>
    <row r="516" spans="1:41" ht="90" x14ac:dyDescent="0.25">
      <c r="A516" s="2">
        <v>194917894675</v>
      </c>
      <c r="B516" t="s">
        <v>71</v>
      </c>
      <c r="C516" t="s">
        <v>72</v>
      </c>
      <c r="D516" t="s">
        <v>1570</v>
      </c>
      <c r="E516" t="s">
        <v>1571</v>
      </c>
      <c r="F516">
        <v>316210</v>
      </c>
      <c r="G516" s="35" t="s">
        <v>1511</v>
      </c>
      <c r="H516" s="31" t="s">
        <v>1572</v>
      </c>
      <c r="J516" t="s">
        <v>77</v>
      </c>
      <c r="M516">
        <v>130</v>
      </c>
      <c r="P516" t="s">
        <v>78</v>
      </c>
      <c r="Q516" s="55">
        <v>124.54545454545453</v>
      </c>
      <c r="R516" s="32">
        <v>68.5</v>
      </c>
      <c r="S516" s="33">
        <v>0.33</v>
      </c>
      <c r="T516" s="34">
        <f t="shared" ref="T516:T579" si="17">R516/(1-S516)</f>
        <v>102.23880597014926</v>
      </c>
      <c r="U516" s="34">
        <f t="shared" ref="U516:U579" si="18">T516*(1+1.25%)</f>
        <v>103.51679104477611</v>
      </c>
      <c r="V516" t="s">
        <v>79</v>
      </c>
      <c r="W516" s="32">
        <v>15</v>
      </c>
      <c r="X516" s="32" t="s">
        <v>80</v>
      </c>
      <c r="AD516" s="1">
        <v>194917894675</v>
      </c>
      <c r="AN516">
        <v>30</v>
      </c>
      <c r="AO516" t="s">
        <v>81</v>
      </c>
    </row>
    <row r="517" spans="1:41" ht="90" x14ac:dyDescent="0.25">
      <c r="A517" s="2">
        <v>194917993415</v>
      </c>
      <c r="B517" t="s">
        <v>71</v>
      </c>
      <c r="C517" t="s">
        <v>72</v>
      </c>
      <c r="D517" t="s">
        <v>1573</v>
      </c>
      <c r="E517" t="s">
        <v>1574</v>
      </c>
      <c r="F517">
        <v>316210</v>
      </c>
      <c r="G517" s="35" t="s">
        <v>1511</v>
      </c>
      <c r="H517" s="31" t="s">
        <v>1575</v>
      </c>
      <c r="J517" t="s">
        <v>77</v>
      </c>
      <c r="M517">
        <v>130</v>
      </c>
      <c r="P517" t="s">
        <v>78</v>
      </c>
      <c r="Q517" s="55">
        <v>124.54545454545453</v>
      </c>
      <c r="R517" s="32">
        <v>68.5</v>
      </c>
      <c r="S517" s="33">
        <v>0.33</v>
      </c>
      <c r="T517" s="34">
        <f t="shared" si="17"/>
        <v>102.23880597014926</v>
      </c>
      <c r="U517" s="34">
        <f t="shared" si="18"/>
        <v>103.51679104477611</v>
      </c>
      <c r="V517" t="s">
        <v>79</v>
      </c>
      <c r="W517" s="32">
        <v>15</v>
      </c>
      <c r="X517" s="32" t="s">
        <v>80</v>
      </c>
      <c r="AD517" s="1">
        <v>194917993415</v>
      </c>
      <c r="AN517">
        <v>30</v>
      </c>
      <c r="AO517" t="s">
        <v>81</v>
      </c>
    </row>
    <row r="518" spans="1:41" ht="90" x14ac:dyDescent="0.25">
      <c r="A518" s="2">
        <v>194917894682</v>
      </c>
      <c r="B518" t="s">
        <v>71</v>
      </c>
      <c r="C518" t="s">
        <v>72</v>
      </c>
      <c r="D518" t="s">
        <v>1576</v>
      </c>
      <c r="E518" t="s">
        <v>1577</v>
      </c>
      <c r="F518">
        <v>316210</v>
      </c>
      <c r="G518" s="35" t="s">
        <v>1511</v>
      </c>
      <c r="H518" s="31" t="s">
        <v>1578</v>
      </c>
      <c r="J518" t="s">
        <v>77</v>
      </c>
      <c r="M518">
        <v>130</v>
      </c>
      <c r="P518" t="s">
        <v>78</v>
      </c>
      <c r="Q518" s="55">
        <v>124.54545454545453</v>
      </c>
      <c r="R518" s="32">
        <v>68.5</v>
      </c>
      <c r="S518" s="33">
        <v>0.33</v>
      </c>
      <c r="T518" s="34">
        <f t="shared" si="17"/>
        <v>102.23880597014926</v>
      </c>
      <c r="U518" s="34">
        <f t="shared" si="18"/>
        <v>103.51679104477611</v>
      </c>
      <c r="V518" t="s">
        <v>79</v>
      </c>
      <c r="W518" s="32">
        <v>15</v>
      </c>
      <c r="X518" s="32" t="s">
        <v>80</v>
      </c>
      <c r="AD518" s="1">
        <v>194917894682</v>
      </c>
      <c r="AN518">
        <v>30</v>
      </c>
      <c r="AO518" t="s">
        <v>81</v>
      </c>
    </row>
    <row r="519" spans="1:41" ht="90" x14ac:dyDescent="0.25">
      <c r="A519" s="2">
        <v>194917993422</v>
      </c>
      <c r="B519" t="s">
        <v>71</v>
      </c>
      <c r="C519" t="s">
        <v>72</v>
      </c>
      <c r="D519" t="s">
        <v>1579</v>
      </c>
      <c r="E519" t="s">
        <v>1580</v>
      </c>
      <c r="F519">
        <v>316210</v>
      </c>
      <c r="G519" s="35" t="s">
        <v>1511</v>
      </c>
      <c r="H519" s="31" t="s">
        <v>1581</v>
      </c>
      <c r="J519" t="s">
        <v>77</v>
      </c>
      <c r="M519">
        <v>130</v>
      </c>
      <c r="P519" t="s">
        <v>78</v>
      </c>
      <c r="Q519" s="55">
        <v>124.54545454545453</v>
      </c>
      <c r="R519" s="32">
        <v>68.5</v>
      </c>
      <c r="S519" s="33">
        <v>0.33</v>
      </c>
      <c r="T519" s="34">
        <f t="shared" si="17"/>
        <v>102.23880597014926</v>
      </c>
      <c r="U519" s="34">
        <f t="shared" si="18"/>
        <v>103.51679104477611</v>
      </c>
      <c r="V519" t="s">
        <v>79</v>
      </c>
      <c r="W519" s="32">
        <v>15</v>
      </c>
      <c r="X519" s="32" t="s">
        <v>80</v>
      </c>
      <c r="AD519" s="1">
        <v>194917993422</v>
      </c>
      <c r="AN519">
        <v>30</v>
      </c>
      <c r="AO519" t="s">
        <v>81</v>
      </c>
    </row>
    <row r="520" spans="1:41" ht="90" x14ac:dyDescent="0.25">
      <c r="A520" s="2">
        <v>194917894699</v>
      </c>
      <c r="B520" t="s">
        <v>71</v>
      </c>
      <c r="C520" t="s">
        <v>72</v>
      </c>
      <c r="D520" t="s">
        <v>1582</v>
      </c>
      <c r="E520" t="s">
        <v>1583</v>
      </c>
      <c r="F520">
        <v>316210</v>
      </c>
      <c r="G520" s="35" t="s">
        <v>1511</v>
      </c>
      <c r="H520" s="31" t="s">
        <v>1584</v>
      </c>
      <c r="J520" t="s">
        <v>77</v>
      </c>
      <c r="M520">
        <v>130</v>
      </c>
      <c r="P520" t="s">
        <v>78</v>
      </c>
      <c r="Q520" s="55">
        <v>124.54545454545453</v>
      </c>
      <c r="R520" s="32">
        <v>68.5</v>
      </c>
      <c r="S520" s="33">
        <v>0.33</v>
      </c>
      <c r="T520" s="34">
        <f t="shared" si="17"/>
        <v>102.23880597014926</v>
      </c>
      <c r="U520" s="34">
        <f t="shared" si="18"/>
        <v>103.51679104477611</v>
      </c>
      <c r="V520" t="s">
        <v>79</v>
      </c>
      <c r="W520" s="32">
        <v>15</v>
      </c>
      <c r="X520" s="32" t="s">
        <v>80</v>
      </c>
      <c r="AD520" s="1">
        <v>194917894699</v>
      </c>
      <c r="AN520">
        <v>30</v>
      </c>
      <c r="AO520" t="s">
        <v>81</v>
      </c>
    </row>
    <row r="521" spans="1:41" ht="90" x14ac:dyDescent="0.25">
      <c r="A521" s="2">
        <v>194917993439</v>
      </c>
      <c r="B521" t="s">
        <v>71</v>
      </c>
      <c r="C521" t="s">
        <v>72</v>
      </c>
      <c r="D521" t="s">
        <v>1585</v>
      </c>
      <c r="E521" t="s">
        <v>1586</v>
      </c>
      <c r="F521">
        <v>316210</v>
      </c>
      <c r="G521" s="35" t="s">
        <v>1511</v>
      </c>
      <c r="H521" s="31" t="s">
        <v>1587</v>
      </c>
      <c r="J521" t="s">
        <v>77</v>
      </c>
      <c r="M521">
        <v>130</v>
      </c>
      <c r="P521" t="s">
        <v>78</v>
      </c>
      <c r="Q521" s="55">
        <v>124.54545454545453</v>
      </c>
      <c r="R521" s="32">
        <v>68.5</v>
      </c>
      <c r="S521" s="33">
        <v>0.33</v>
      </c>
      <c r="T521" s="34">
        <f t="shared" si="17"/>
        <v>102.23880597014926</v>
      </c>
      <c r="U521" s="34">
        <f t="shared" si="18"/>
        <v>103.51679104477611</v>
      </c>
      <c r="V521" t="s">
        <v>79</v>
      </c>
      <c r="W521" s="32">
        <v>15</v>
      </c>
      <c r="X521" s="32" t="s">
        <v>80</v>
      </c>
      <c r="AD521" s="1">
        <v>194917993439</v>
      </c>
      <c r="AN521">
        <v>30</v>
      </c>
      <c r="AO521" t="s">
        <v>81</v>
      </c>
    </row>
    <row r="522" spans="1:41" ht="90" x14ac:dyDescent="0.25">
      <c r="A522" s="2">
        <v>194917894705</v>
      </c>
      <c r="B522" t="s">
        <v>71</v>
      </c>
      <c r="C522" t="s">
        <v>72</v>
      </c>
      <c r="D522" t="s">
        <v>1588</v>
      </c>
      <c r="E522" t="s">
        <v>1589</v>
      </c>
      <c r="F522">
        <v>316210</v>
      </c>
      <c r="G522" s="35" t="s">
        <v>1511</v>
      </c>
      <c r="H522" s="31" t="s">
        <v>1590</v>
      </c>
      <c r="J522" t="s">
        <v>77</v>
      </c>
      <c r="M522">
        <v>130</v>
      </c>
      <c r="P522" t="s">
        <v>78</v>
      </c>
      <c r="Q522" s="55">
        <v>124.54545454545453</v>
      </c>
      <c r="R522" s="32">
        <v>68.5</v>
      </c>
      <c r="S522" s="33">
        <v>0.33</v>
      </c>
      <c r="T522" s="34">
        <f t="shared" si="17"/>
        <v>102.23880597014926</v>
      </c>
      <c r="U522" s="34">
        <f t="shared" si="18"/>
        <v>103.51679104477611</v>
      </c>
      <c r="V522" t="s">
        <v>79</v>
      </c>
      <c r="W522" s="32">
        <v>15</v>
      </c>
      <c r="X522" s="32" t="s">
        <v>80</v>
      </c>
      <c r="AD522" s="1">
        <v>194917894705</v>
      </c>
      <c r="AN522">
        <v>30</v>
      </c>
      <c r="AO522" t="s">
        <v>81</v>
      </c>
    </row>
    <row r="523" spans="1:41" ht="90" x14ac:dyDescent="0.25">
      <c r="A523" s="2">
        <v>194917993446</v>
      </c>
      <c r="B523" t="s">
        <v>71</v>
      </c>
      <c r="C523" t="s">
        <v>72</v>
      </c>
      <c r="D523" t="s">
        <v>1591</v>
      </c>
      <c r="E523" t="s">
        <v>1592</v>
      </c>
      <c r="F523">
        <v>316210</v>
      </c>
      <c r="G523" s="35" t="s">
        <v>1511</v>
      </c>
      <c r="H523" s="31" t="s">
        <v>1593</v>
      </c>
      <c r="J523" t="s">
        <v>77</v>
      </c>
      <c r="M523">
        <v>130</v>
      </c>
      <c r="P523" t="s">
        <v>78</v>
      </c>
      <c r="Q523" s="55">
        <v>124.54545454545453</v>
      </c>
      <c r="R523" s="32">
        <v>68.5</v>
      </c>
      <c r="S523" s="33">
        <v>0.33</v>
      </c>
      <c r="T523" s="34">
        <f t="shared" si="17"/>
        <v>102.23880597014926</v>
      </c>
      <c r="U523" s="34">
        <f t="shared" si="18"/>
        <v>103.51679104477611</v>
      </c>
      <c r="V523" t="s">
        <v>79</v>
      </c>
      <c r="W523" s="32">
        <v>15</v>
      </c>
      <c r="X523" s="32" t="s">
        <v>80</v>
      </c>
      <c r="AD523" s="1">
        <v>194917993446</v>
      </c>
      <c r="AN523">
        <v>30</v>
      </c>
      <c r="AO523" t="s">
        <v>81</v>
      </c>
    </row>
    <row r="524" spans="1:41" ht="120" x14ac:dyDescent="0.25">
      <c r="A524" s="2">
        <v>194917894712</v>
      </c>
      <c r="B524" t="s">
        <v>71</v>
      </c>
      <c r="C524" t="s">
        <v>72</v>
      </c>
      <c r="D524" t="s">
        <v>1594</v>
      </c>
      <c r="E524" t="s">
        <v>1595</v>
      </c>
      <c r="F524">
        <v>316210</v>
      </c>
      <c r="G524" s="35" t="s">
        <v>1596</v>
      </c>
      <c r="H524" s="31" t="s">
        <v>1597</v>
      </c>
      <c r="J524" t="s">
        <v>77</v>
      </c>
      <c r="M524">
        <v>150</v>
      </c>
      <c r="P524" t="s">
        <v>78</v>
      </c>
      <c r="Q524" s="55">
        <v>144.54545454545453</v>
      </c>
      <c r="R524" s="32">
        <v>79.5</v>
      </c>
      <c r="S524" s="33">
        <v>0.33</v>
      </c>
      <c r="T524" s="34">
        <f t="shared" si="17"/>
        <v>118.65671641791046</v>
      </c>
      <c r="U524" s="34">
        <f t="shared" si="18"/>
        <v>120.13992537313433</v>
      </c>
      <c r="V524" t="s">
        <v>79</v>
      </c>
      <c r="W524" s="32">
        <v>15</v>
      </c>
      <c r="X524" s="32" t="s">
        <v>80</v>
      </c>
      <c r="AD524" s="1">
        <v>194917894712</v>
      </c>
      <c r="AN524">
        <v>30</v>
      </c>
      <c r="AO524" t="s">
        <v>81</v>
      </c>
    </row>
    <row r="525" spans="1:41" ht="120" x14ac:dyDescent="0.25">
      <c r="A525" s="2">
        <v>194917993453</v>
      </c>
      <c r="B525" t="s">
        <v>71</v>
      </c>
      <c r="C525" t="s">
        <v>72</v>
      </c>
      <c r="D525" t="s">
        <v>1598</v>
      </c>
      <c r="E525" t="s">
        <v>1599</v>
      </c>
      <c r="F525">
        <v>316210</v>
      </c>
      <c r="G525" s="35" t="s">
        <v>1596</v>
      </c>
      <c r="H525" s="31" t="s">
        <v>1600</v>
      </c>
      <c r="J525" t="s">
        <v>77</v>
      </c>
      <c r="M525">
        <v>150</v>
      </c>
      <c r="P525" t="s">
        <v>78</v>
      </c>
      <c r="Q525" s="55">
        <v>144.54545454545453</v>
      </c>
      <c r="R525" s="32">
        <v>79.5</v>
      </c>
      <c r="S525" s="33">
        <v>0.33</v>
      </c>
      <c r="T525" s="34">
        <f t="shared" si="17"/>
        <v>118.65671641791046</v>
      </c>
      <c r="U525" s="34">
        <f t="shared" si="18"/>
        <v>120.13992537313433</v>
      </c>
      <c r="V525" t="s">
        <v>79</v>
      </c>
      <c r="W525" s="32">
        <v>15</v>
      </c>
      <c r="X525" s="32" t="s">
        <v>80</v>
      </c>
      <c r="AD525" s="1">
        <v>194917993453</v>
      </c>
      <c r="AN525">
        <v>30</v>
      </c>
      <c r="AO525" t="s">
        <v>81</v>
      </c>
    </row>
    <row r="526" spans="1:41" ht="120" x14ac:dyDescent="0.25">
      <c r="A526" s="2">
        <v>194917894729</v>
      </c>
      <c r="B526" t="s">
        <v>71</v>
      </c>
      <c r="C526" t="s">
        <v>72</v>
      </c>
      <c r="D526" t="s">
        <v>1601</v>
      </c>
      <c r="E526" t="s">
        <v>1602</v>
      </c>
      <c r="F526">
        <v>316210</v>
      </c>
      <c r="G526" s="35" t="s">
        <v>1596</v>
      </c>
      <c r="H526" s="31" t="s">
        <v>1603</v>
      </c>
      <c r="J526" t="s">
        <v>77</v>
      </c>
      <c r="M526">
        <v>150</v>
      </c>
      <c r="P526" t="s">
        <v>78</v>
      </c>
      <c r="Q526" s="55">
        <v>144.54545454545453</v>
      </c>
      <c r="R526" s="32">
        <v>79.5</v>
      </c>
      <c r="S526" s="33">
        <v>0.33</v>
      </c>
      <c r="T526" s="34">
        <f t="shared" si="17"/>
        <v>118.65671641791046</v>
      </c>
      <c r="U526" s="34">
        <f t="shared" si="18"/>
        <v>120.13992537313433</v>
      </c>
      <c r="V526" t="s">
        <v>79</v>
      </c>
      <c r="W526" s="32">
        <v>15</v>
      </c>
      <c r="X526" s="32" t="s">
        <v>80</v>
      </c>
      <c r="AD526" s="1">
        <v>194917894729</v>
      </c>
      <c r="AN526">
        <v>30</v>
      </c>
      <c r="AO526" t="s">
        <v>81</v>
      </c>
    </row>
    <row r="527" spans="1:41" ht="120" x14ac:dyDescent="0.25">
      <c r="A527" s="2">
        <v>194917993460</v>
      </c>
      <c r="B527" t="s">
        <v>71</v>
      </c>
      <c r="C527" t="s">
        <v>72</v>
      </c>
      <c r="D527" t="s">
        <v>1604</v>
      </c>
      <c r="E527" t="s">
        <v>1605</v>
      </c>
      <c r="F527">
        <v>316210</v>
      </c>
      <c r="G527" s="35" t="s">
        <v>1596</v>
      </c>
      <c r="H527" s="31" t="s">
        <v>1606</v>
      </c>
      <c r="J527" t="s">
        <v>77</v>
      </c>
      <c r="M527">
        <v>150</v>
      </c>
      <c r="P527" t="s">
        <v>78</v>
      </c>
      <c r="Q527" s="55">
        <v>144.54545454545453</v>
      </c>
      <c r="R527" s="32">
        <v>79.5</v>
      </c>
      <c r="S527" s="33">
        <v>0.33</v>
      </c>
      <c r="T527" s="34">
        <f t="shared" si="17"/>
        <v>118.65671641791046</v>
      </c>
      <c r="U527" s="34">
        <f t="shared" si="18"/>
        <v>120.13992537313433</v>
      </c>
      <c r="V527" t="s">
        <v>79</v>
      </c>
      <c r="W527" s="32">
        <v>15</v>
      </c>
      <c r="X527" s="32" t="s">
        <v>80</v>
      </c>
      <c r="AD527" s="1">
        <v>194917993460</v>
      </c>
      <c r="AN527">
        <v>30</v>
      </c>
      <c r="AO527" t="s">
        <v>81</v>
      </c>
    </row>
    <row r="528" spans="1:41" ht="120" x14ac:dyDescent="0.25">
      <c r="A528" s="2">
        <v>194917894736</v>
      </c>
      <c r="B528" t="s">
        <v>71</v>
      </c>
      <c r="C528" t="s">
        <v>72</v>
      </c>
      <c r="D528" t="s">
        <v>1607</v>
      </c>
      <c r="E528" t="s">
        <v>1608</v>
      </c>
      <c r="F528">
        <v>316210</v>
      </c>
      <c r="G528" s="35" t="s">
        <v>1596</v>
      </c>
      <c r="H528" s="31" t="s">
        <v>1609</v>
      </c>
      <c r="J528" t="s">
        <v>77</v>
      </c>
      <c r="M528">
        <v>150</v>
      </c>
      <c r="P528" t="s">
        <v>78</v>
      </c>
      <c r="Q528" s="55">
        <v>144.54545454545453</v>
      </c>
      <c r="R528" s="32">
        <v>79.5</v>
      </c>
      <c r="S528" s="33">
        <v>0.33</v>
      </c>
      <c r="T528" s="34">
        <f t="shared" si="17"/>
        <v>118.65671641791046</v>
      </c>
      <c r="U528" s="34">
        <f t="shared" si="18"/>
        <v>120.13992537313433</v>
      </c>
      <c r="V528" t="s">
        <v>79</v>
      </c>
      <c r="W528" s="32">
        <v>15</v>
      </c>
      <c r="X528" s="32" t="s">
        <v>80</v>
      </c>
      <c r="AD528" s="1">
        <v>194917894736</v>
      </c>
      <c r="AN528">
        <v>30</v>
      </c>
      <c r="AO528" t="s">
        <v>81</v>
      </c>
    </row>
    <row r="529" spans="1:41" ht="120" x14ac:dyDescent="0.25">
      <c r="A529" s="2">
        <v>194917993477</v>
      </c>
      <c r="B529" t="s">
        <v>71</v>
      </c>
      <c r="C529" t="s">
        <v>72</v>
      </c>
      <c r="D529" t="s">
        <v>1610</v>
      </c>
      <c r="E529" t="s">
        <v>1611</v>
      </c>
      <c r="F529">
        <v>316210</v>
      </c>
      <c r="G529" s="35" t="s">
        <v>1596</v>
      </c>
      <c r="H529" s="31" t="s">
        <v>1612</v>
      </c>
      <c r="J529" t="s">
        <v>77</v>
      </c>
      <c r="M529">
        <v>150</v>
      </c>
      <c r="P529" t="s">
        <v>78</v>
      </c>
      <c r="Q529" s="55">
        <v>144.54545454545453</v>
      </c>
      <c r="R529" s="32">
        <v>79.5</v>
      </c>
      <c r="S529" s="33">
        <v>0.33</v>
      </c>
      <c r="T529" s="34">
        <f t="shared" si="17"/>
        <v>118.65671641791046</v>
      </c>
      <c r="U529" s="34">
        <f t="shared" si="18"/>
        <v>120.13992537313433</v>
      </c>
      <c r="V529" t="s">
        <v>79</v>
      </c>
      <c r="W529" s="32">
        <v>15</v>
      </c>
      <c r="X529" s="32" t="s">
        <v>80</v>
      </c>
      <c r="AD529" s="1">
        <v>194917993477</v>
      </c>
      <c r="AN529">
        <v>30</v>
      </c>
      <c r="AO529" t="s">
        <v>81</v>
      </c>
    </row>
    <row r="530" spans="1:41" ht="120" x14ac:dyDescent="0.25">
      <c r="A530" s="2">
        <v>194917894743</v>
      </c>
      <c r="B530" t="s">
        <v>71</v>
      </c>
      <c r="C530" t="s">
        <v>72</v>
      </c>
      <c r="D530" t="s">
        <v>1613</v>
      </c>
      <c r="E530" t="s">
        <v>1614</v>
      </c>
      <c r="F530">
        <v>316210</v>
      </c>
      <c r="G530" s="35" t="s">
        <v>1596</v>
      </c>
      <c r="H530" s="31" t="s">
        <v>1615</v>
      </c>
      <c r="J530" t="s">
        <v>77</v>
      </c>
      <c r="M530">
        <v>150</v>
      </c>
      <c r="P530" t="s">
        <v>78</v>
      </c>
      <c r="Q530" s="55">
        <v>144.54545454545453</v>
      </c>
      <c r="R530" s="32">
        <v>79.5</v>
      </c>
      <c r="S530" s="33">
        <v>0.33</v>
      </c>
      <c r="T530" s="34">
        <f t="shared" si="17"/>
        <v>118.65671641791046</v>
      </c>
      <c r="U530" s="34">
        <f t="shared" si="18"/>
        <v>120.13992537313433</v>
      </c>
      <c r="V530" t="s">
        <v>79</v>
      </c>
      <c r="W530" s="32">
        <v>15</v>
      </c>
      <c r="X530" s="32" t="s">
        <v>80</v>
      </c>
      <c r="AD530" s="1">
        <v>194917894743</v>
      </c>
      <c r="AN530">
        <v>30</v>
      </c>
      <c r="AO530" t="s">
        <v>81</v>
      </c>
    </row>
    <row r="531" spans="1:41" ht="120" x14ac:dyDescent="0.25">
      <c r="A531" s="2">
        <v>194917993484</v>
      </c>
      <c r="B531" t="s">
        <v>71</v>
      </c>
      <c r="C531" t="s">
        <v>72</v>
      </c>
      <c r="D531" t="s">
        <v>1616</v>
      </c>
      <c r="E531" t="s">
        <v>1617</v>
      </c>
      <c r="F531">
        <v>316210</v>
      </c>
      <c r="G531" s="35" t="s">
        <v>1596</v>
      </c>
      <c r="H531" s="31" t="s">
        <v>1618</v>
      </c>
      <c r="J531" t="s">
        <v>77</v>
      </c>
      <c r="M531">
        <v>150</v>
      </c>
      <c r="P531" t="s">
        <v>78</v>
      </c>
      <c r="Q531" s="55">
        <v>144.54545454545453</v>
      </c>
      <c r="R531" s="32">
        <v>79.5</v>
      </c>
      <c r="S531" s="33">
        <v>0.33</v>
      </c>
      <c r="T531" s="34">
        <f t="shared" si="17"/>
        <v>118.65671641791046</v>
      </c>
      <c r="U531" s="34">
        <f t="shared" si="18"/>
        <v>120.13992537313433</v>
      </c>
      <c r="V531" t="s">
        <v>79</v>
      </c>
      <c r="W531" s="32">
        <v>15</v>
      </c>
      <c r="X531" s="32" t="s">
        <v>80</v>
      </c>
      <c r="AD531" s="1">
        <v>194917993484</v>
      </c>
      <c r="AN531">
        <v>30</v>
      </c>
      <c r="AO531" t="s">
        <v>81</v>
      </c>
    </row>
    <row r="532" spans="1:41" ht="120" x14ac:dyDescent="0.25">
      <c r="A532" s="2">
        <v>194917894750</v>
      </c>
      <c r="B532" t="s">
        <v>71</v>
      </c>
      <c r="C532" t="s">
        <v>72</v>
      </c>
      <c r="D532" t="s">
        <v>1619</v>
      </c>
      <c r="E532" t="s">
        <v>1620</v>
      </c>
      <c r="F532">
        <v>316210</v>
      </c>
      <c r="G532" s="35" t="s">
        <v>1596</v>
      </c>
      <c r="H532" s="31" t="s">
        <v>1621</v>
      </c>
      <c r="J532" t="s">
        <v>77</v>
      </c>
      <c r="M532">
        <v>150</v>
      </c>
      <c r="P532" t="s">
        <v>78</v>
      </c>
      <c r="Q532" s="55">
        <v>144.54545454545453</v>
      </c>
      <c r="R532" s="32">
        <v>79.5</v>
      </c>
      <c r="S532" s="33">
        <v>0.33</v>
      </c>
      <c r="T532" s="34">
        <f t="shared" si="17"/>
        <v>118.65671641791046</v>
      </c>
      <c r="U532" s="34">
        <f t="shared" si="18"/>
        <v>120.13992537313433</v>
      </c>
      <c r="V532" t="s">
        <v>79</v>
      </c>
      <c r="W532" s="32">
        <v>15</v>
      </c>
      <c r="X532" s="32" t="s">
        <v>80</v>
      </c>
      <c r="AD532" s="1">
        <v>194917894750</v>
      </c>
      <c r="AN532">
        <v>30</v>
      </c>
      <c r="AO532" t="s">
        <v>81</v>
      </c>
    </row>
    <row r="533" spans="1:41" ht="120" x14ac:dyDescent="0.25">
      <c r="A533" s="2">
        <v>194917993491</v>
      </c>
      <c r="B533" t="s">
        <v>71</v>
      </c>
      <c r="C533" t="s">
        <v>72</v>
      </c>
      <c r="D533" t="s">
        <v>1622</v>
      </c>
      <c r="E533" t="s">
        <v>1623</v>
      </c>
      <c r="F533">
        <v>316210</v>
      </c>
      <c r="G533" s="35" t="s">
        <v>1596</v>
      </c>
      <c r="H533" s="31" t="s">
        <v>1624</v>
      </c>
      <c r="J533" t="s">
        <v>77</v>
      </c>
      <c r="M533">
        <v>150</v>
      </c>
      <c r="P533" t="s">
        <v>78</v>
      </c>
      <c r="Q533" s="55">
        <v>144.54545454545453</v>
      </c>
      <c r="R533" s="32">
        <v>79.5</v>
      </c>
      <c r="S533" s="33">
        <v>0.33</v>
      </c>
      <c r="T533" s="34">
        <f t="shared" si="17"/>
        <v>118.65671641791046</v>
      </c>
      <c r="U533" s="34">
        <f t="shared" si="18"/>
        <v>120.13992537313433</v>
      </c>
      <c r="V533" t="s">
        <v>79</v>
      </c>
      <c r="W533" s="32">
        <v>15</v>
      </c>
      <c r="X533" s="32" t="s">
        <v>80</v>
      </c>
      <c r="AD533" s="1">
        <v>194917993491</v>
      </c>
      <c r="AN533">
        <v>30</v>
      </c>
      <c r="AO533" t="s">
        <v>81</v>
      </c>
    </row>
    <row r="534" spans="1:41" ht="120" x14ac:dyDescent="0.25">
      <c r="A534" s="2">
        <v>194917894767</v>
      </c>
      <c r="B534" t="s">
        <v>71</v>
      </c>
      <c r="C534" t="s">
        <v>72</v>
      </c>
      <c r="D534" t="s">
        <v>1625</v>
      </c>
      <c r="E534" t="s">
        <v>1626</v>
      </c>
      <c r="F534">
        <v>316210</v>
      </c>
      <c r="G534" s="35" t="s">
        <v>1596</v>
      </c>
      <c r="H534" s="31" t="s">
        <v>1627</v>
      </c>
      <c r="J534" t="s">
        <v>77</v>
      </c>
      <c r="M534">
        <v>150</v>
      </c>
      <c r="P534" t="s">
        <v>78</v>
      </c>
      <c r="Q534" s="55">
        <v>144.54545454545453</v>
      </c>
      <c r="R534" s="32">
        <v>79.5</v>
      </c>
      <c r="S534" s="33">
        <v>0.33</v>
      </c>
      <c r="T534" s="34">
        <f t="shared" si="17"/>
        <v>118.65671641791046</v>
      </c>
      <c r="U534" s="34">
        <f t="shared" si="18"/>
        <v>120.13992537313433</v>
      </c>
      <c r="V534" t="s">
        <v>79</v>
      </c>
      <c r="W534" s="32">
        <v>15</v>
      </c>
      <c r="X534" s="32" t="s">
        <v>80</v>
      </c>
      <c r="AD534" s="1">
        <v>194917894767</v>
      </c>
      <c r="AN534">
        <v>30</v>
      </c>
      <c r="AO534" t="s">
        <v>81</v>
      </c>
    </row>
    <row r="535" spans="1:41" ht="120" x14ac:dyDescent="0.25">
      <c r="A535" s="2">
        <v>194917993507</v>
      </c>
      <c r="B535" t="s">
        <v>71</v>
      </c>
      <c r="C535" t="s">
        <v>72</v>
      </c>
      <c r="D535" t="s">
        <v>1628</v>
      </c>
      <c r="E535" t="s">
        <v>1629</v>
      </c>
      <c r="F535">
        <v>316210</v>
      </c>
      <c r="G535" s="35" t="s">
        <v>1596</v>
      </c>
      <c r="H535" s="31" t="s">
        <v>1630</v>
      </c>
      <c r="J535" t="s">
        <v>77</v>
      </c>
      <c r="M535">
        <v>150</v>
      </c>
      <c r="P535" t="s">
        <v>78</v>
      </c>
      <c r="Q535" s="55">
        <v>144.54545454545453</v>
      </c>
      <c r="R535" s="32">
        <v>79.5</v>
      </c>
      <c r="S535" s="33">
        <v>0.33</v>
      </c>
      <c r="T535" s="34">
        <f t="shared" si="17"/>
        <v>118.65671641791046</v>
      </c>
      <c r="U535" s="34">
        <f t="shared" si="18"/>
        <v>120.13992537313433</v>
      </c>
      <c r="V535" t="s">
        <v>79</v>
      </c>
      <c r="W535" s="32">
        <v>15</v>
      </c>
      <c r="X535" s="32" t="s">
        <v>80</v>
      </c>
      <c r="AD535" s="1">
        <v>194917993507</v>
      </c>
      <c r="AN535">
        <v>30</v>
      </c>
      <c r="AO535" t="s">
        <v>81</v>
      </c>
    </row>
    <row r="536" spans="1:41" ht="120" x14ac:dyDescent="0.25">
      <c r="A536" s="2">
        <v>194917894774</v>
      </c>
      <c r="B536" t="s">
        <v>71</v>
      </c>
      <c r="C536" t="s">
        <v>72</v>
      </c>
      <c r="D536" t="s">
        <v>1631</v>
      </c>
      <c r="E536" t="s">
        <v>1632</v>
      </c>
      <c r="F536">
        <v>316210</v>
      </c>
      <c r="G536" s="35" t="s">
        <v>1596</v>
      </c>
      <c r="H536" s="31" t="s">
        <v>1633</v>
      </c>
      <c r="J536" t="s">
        <v>77</v>
      </c>
      <c r="M536">
        <v>150</v>
      </c>
      <c r="P536" t="s">
        <v>78</v>
      </c>
      <c r="Q536" s="55">
        <v>144.54545454545453</v>
      </c>
      <c r="R536" s="32">
        <v>79.5</v>
      </c>
      <c r="S536" s="33">
        <v>0.33</v>
      </c>
      <c r="T536" s="34">
        <f t="shared" si="17"/>
        <v>118.65671641791046</v>
      </c>
      <c r="U536" s="34">
        <f t="shared" si="18"/>
        <v>120.13992537313433</v>
      </c>
      <c r="V536" t="s">
        <v>79</v>
      </c>
      <c r="W536" s="32">
        <v>15</v>
      </c>
      <c r="X536" s="32" t="s">
        <v>80</v>
      </c>
      <c r="AD536" s="1">
        <v>194917894774</v>
      </c>
      <c r="AN536">
        <v>30</v>
      </c>
      <c r="AO536" t="s">
        <v>81</v>
      </c>
    </row>
    <row r="537" spans="1:41" ht="120" x14ac:dyDescent="0.25">
      <c r="A537" s="2">
        <v>194917993514</v>
      </c>
      <c r="B537" t="s">
        <v>71</v>
      </c>
      <c r="C537" t="s">
        <v>72</v>
      </c>
      <c r="D537" t="s">
        <v>1634</v>
      </c>
      <c r="E537" t="s">
        <v>1635</v>
      </c>
      <c r="F537">
        <v>316210</v>
      </c>
      <c r="G537" s="35" t="s">
        <v>1596</v>
      </c>
      <c r="H537" s="31" t="s">
        <v>1636</v>
      </c>
      <c r="J537" t="s">
        <v>77</v>
      </c>
      <c r="M537">
        <v>150</v>
      </c>
      <c r="P537" t="s">
        <v>78</v>
      </c>
      <c r="Q537" s="55">
        <v>144.54545454545453</v>
      </c>
      <c r="R537" s="32">
        <v>79.5</v>
      </c>
      <c r="S537" s="33">
        <v>0.33</v>
      </c>
      <c r="T537" s="34">
        <f t="shared" si="17"/>
        <v>118.65671641791046</v>
      </c>
      <c r="U537" s="34">
        <f t="shared" si="18"/>
        <v>120.13992537313433</v>
      </c>
      <c r="V537" t="s">
        <v>79</v>
      </c>
      <c r="W537" s="32">
        <v>15</v>
      </c>
      <c r="X537" s="32" t="s">
        <v>80</v>
      </c>
      <c r="AD537" s="1">
        <v>194917993514</v>
      </c>
      <c r="AN537">
        <v>30</v>
      </c>
      <c r="AO537" t="s">
        <v>81</v>
      </c>
    </row>
    <row r="538" spans="1:41" ht="120" x14ac:dyDescent="0.25">
      <c r="A538" s="2">
        <v>194917894781</v>
      </c>
      <c r="B538" t="s">
        <v>71</v>
      </c>
      <c r="C538" t="s">
        <v>72</v>
      </c>
      <c r="D538" t="s">
        <v>1637</v>
      </c>
      <c r="E538" t="s">
        <v>1638</v>
      </c>
      <c r="F538">
        <v>316210</v>
      </c>
      <c r="G538" s="35" t="s">
        <v>1596</v>
      </c>
      <c r="H538" s="31" t="s">
        <v>1639</v>
      </c>
      <c r="J538" t="s">
        <v>77</v>
      </c>
      <c r="M538">
        <v>150</v>
      </c>
      <c r="P538" t="s">
        <v>78</v>
      </c>
      <c r="Q538" s="55">
        <v>144.54545454545453</v>
      </c>
      <c r="R538" s="32">
        <v>79.5</v>
      </c>
      <c r="S538" s="33">
        <v>0.33</v>
      </c>
      <c r="T538" s="34">
        <f t="shared" si="17"/>
        <v>118.65671641791046</v>
      </c>
      <c r="U538" s="34">
        <f t="shared" si="18"/>
        <v>120.13992537313433</v>
      </c>
      <c r="V538" t="s">
        <v>79</v>
      </c>
      <c r="W538" s="32">
        <v>15</v>
      </c>
      <c r="X538" s="32" t="s">
        <v>80</v>
      </c>
      <c r="AD538" s="1">
        <v>194917894781</v>
      </c>
      <c r="AN538">
        <v>30</v>
      </c>
      <c r="AO538" t="s">
        <v>81</v>
      </c>
    </row>
    <row r="539" spans="1:41" ht="120" x14ac:dyDescent="0.25">
      <c r="A539" s="2">
        <v>194917993521</v>
      </c>
      <c r="B539" t="s">
        <v>71</v>
      </c>
      <c r="C539" t="s">
        <v>72</v>
      </c>
      <c r="D539" t="s">
        <v>1640</v>
      </c>
      <c r="E539" t="s">
        <v>1641</v>
      </c>
      <c r="F539">
        <v>316210</v>
      </c>
      <c r="G539" s="35" t="s">
        <v>1596</v>
      </c>
      <c r="H539" s="31" t="s">
        <v>1642</v>
      </c>
      <c r="J539" t="s">
        <v>77</v>
      </c>
      <c r="M539">
        <v>150</v>
      </c>
      <c r="P539" t="s">
        <v>78</v>
      </c>
      <c r="Q539" s="55">
        <v>144.54545454545453</v>
      </c>
      <c r="R539" s="32">
        <v>79.5</v>
      </c>
      <c r="S539" s="33">
        <v>0.33</v>
      </c>
      <c r="T539" s="34">
        <f t="shared" si="17"/>
        <v>118.65671641791046</v>
      </c>
      <c r="U539" s="34">
        <f t="shared" si="18"/>
        <v>120.13992537313433</v>
      </c>
      <c r="V539" t="s">
        <v>79</v>
      </c>
      <c r="W539" s="32">
        <v>15</v>
      </c>
      <c r="X539" s="32" t="s">
        <v>80</v>
      </c>
      <c r="AD539" s="1">
        <v>194917993521</v>
      </c>
      <c r="AN539">
        <v>30</v>
      </c>
      <c r="AO539" t="s">
        <v>81</v>
      </c>
    </row>
    <row r="540" spans="1:41" ht="120" x14ac:dyDescent="0.25">
      <c r="A540" s="2">
        <v>194917894798</v>
      </c>
      <c r="B540" t="s">
        <v>71</v>
      </c>
      <c r="C540" t="s">
        <v>72</v>
      </c>
      <c r="D540" t="s">
        <v>1643</v>
      </c>
      <c r="E540" t="s">
        <v>1644</v>
      </c>
      <c r="F540">
        <v>316210</v>
      </c>
      <c r="G540" s="35" t="s">
        <v>1596</v>
      </c>
      <c r="H540" s="31" t="s">
        <v>1645</v>
      </c>
      <c r="J540" t="s">
        <v>77</v>
      </c>
      <c r="M540">
        <v>150</v>
      </c>
      <c r="P540" t="s">
        <v>78</v>
      </c>
      <c r="Q540" s="55">
        <v>144.54545454545453</v>
      </c>
      <c r="R540" s="32">
        <v>79.5</v>
      </c>
      <c r="S540" s="33">
        <v>0.33</v>
      </c>
      <c r="T540" s="34">
        <f t="shared" si="17"/>
        <v>118.65671641791046</v>
      </c>
      <c r="U540" s="34">
        <f t="shared" si="18"/>
        <v>120.13992537313433</v>
      </c>
      <c r="V540" t="s">
        <v>79</v>
      </c>
      <c r="W540" s="32">
        <v>15</v>
      </c>
      <c r="X540" s="32" t="s">
        <v>80</v>
      </c>
      <c r="AD540" s="1">
        <v>194917894798</v>
      </c>
      <c r="AN540">
        <v>30</v>
      </c>
      <c r="AO540" t="s">
        <v>81</v>
      </c>
    </row>
    <row r="541" spans="1:41" ht="120" x14ac:dyDescent="0.25">
      <c r="A541" s="2">
        <v>194917993538</v>
      </c>
      <c r="B541" t="s">
        <v>71</v>
      </c>
      <c r="C541" t="s">
        <v>72</v>
      </c>
      <c r="D541" t="s">
        <v>1646</v>
      </c>
      <c r="E541" t="s">
        <v>1647</v>
      </c>
      <c r="F541">
        <v>316210</v>
      </c>
      <c r="G541" s="35" t="s">
        <v>1596</v>
      </c>
      <c r="H541" s="31" t="s">
        <v>1648</v>
      </c>
      <c r="J541" t="s">
        <v>77</v>
      </c>
      <c r="M541">
        <v>150</v>
      </c>
      <c r="P541" t="s">
        <v>78</v>
      </c>
      <c r="Q541" s="55">
        <v>144.54545454545453</v>
      </c>
      <c r="R541" s="32">
        <v>79.5</v>
      </c>
      <c r="S541" s="33">
        <v>0.33</v>
      </c>
      <c r="T541" s="34">
        <f t="shared" si="17"/>
        <v>118.65671641791046</v>
      </c>
      <c r="U541" s="34">
        <f t="shared" si="18"/>
        <v>120.13992537313433</v>
      </c>
      <c r="V541" t="s">
        <v>79</v>
      </c>
      <c r="W541" s="32">
        <v>15</v>
      </c>
      <c r="X541" s="32" t="s">
        <v>80</v>
      </c>
      <c r="AD541" s="1">
        <v>194917993538</v>
      </c>
      <c r="AN541">
        <v>30</v>
      </c>
      <c r="AO541" t="s">
        <v>81</v>
      </c>
    </row>
    <row r="542" spans="1:41" ht="120" x14ac:dyDescent="0.25">
      <c r="A542" s="2">
        <v>194917894804</v>
      </c>
      <c r="B542" t="s">
        <v>71</v>
      </c>
      <c r="C542" t="s">
        <v>72</v>
      </c>
      <c r="D542" t="s">
        <v>1649</v>
      </c>
      <c r="E542" t="s">
        <v>1650</v>
      </c>
      <c r="F542">
        <v>316210</v>
      </c>
      <c r="G542" s="35" t="s">
        <v>1596</v>
      </c>
      <c r="H542" s="31" t="s">
        <v>1651</v>
      </c>
      <c r="J542" t="s">
        <v>77</v>
      </c>
      <c r="M542">
        <v>150</v>
      </c>
      <c r="P542" t="s">
        <v>78</v>
      </c>
      <c r="Q542" s="55">
        <v>144.54545454545453</v>
      </c>
      <c r="R542" s="32">
        <v>79.5</v>
      </c>
      <c r="S542" s="33">
        <v>0.33</v>
      </c>
      <c r="T542" s="34">
        <f t="shared" si="17"/>
        <v>118.65671641791046</v>
      </c>
      <c r="U542" s="34">
        <f t="shared" si="18"/>
        <v>120.13992537313433</v>
      </c>
      <c r="V542" t="s">
        <v>79</v>
      </c>
      <c r="W542" s="32">
        <v>15</v>
      </c>
      <c r="X542" s="32" t="s">
        <v>80</v>
      </c>
      <c r="AD542" s="1">
        <v>194917894804</v>
      </c>
      <c r="AN542">
        <v>30</v>
      </c>
      <c r="AO542" t="s">
        <v>81</v>
      </c>
    </row>
    <row r="543" spans="1:41" ht="120" x14ac:dyDescent="0.25">
      <c r="A543" s="2">
        <v>194917993545</v>
      </c>
      <c r="B543" t="s">
        <v>71</v>
      </c>
      <c r="C543" t="s">
        <v>72</v>
      </c>
      <c r="D543" t="s">
        <v>1652</v>
      </c>
      <c r="E543" t="s">
        <v>1653</v>
      </c>
      <c r="F543">
        <v>316210</v>
      </c>
      <c r="G543" s="35" t="s">
        <v>1596</v>
      </c>
      <c r="H543" s="31" t="s">
        <v>1654</v>
      </c>
      <c r="J543" t="s">
        <v>77</v>
      </c>
      <c r="M543">
        <v>150</v>
      </c>
      <c r="P543" t="s">
        <v>78</v>
      </c>
      <c r="Q543" s="55">
        <v>144.54545454545453</v>
      </c>
      <c r="R543" s="32">
        <v>79.5</v>
      </c>
      <c r="S543" s="33">
        <v>0.33</v>
      </c>
      <c r="T543" s="34">
        <f t="shared" si="17"/>
        <v>118.65671641791046</v>
      </c>
      <c r="U543" s="34">
        <f t="shared" si="18"/>
        <v>120.13992537313433</v>
      </c>
      <c r="V543" t="s">
        <v>79</v>
      </c>
      <c r="W543" s="32">
        <v>15</v>
      </c>
      <c r="X543" s="32" t="s">
        <v>80</v>
      </c>
      <c r="AD543" s="1">
        <v>194917993545</v>
      </c>
      <c r="AN543">
        <v>30</v>
      </c>
      <c r="AO543" t="s">
        <v>81</v>
      </c>
    </row>
    <row r="544" spans="1:41" ht="120" x14ac:dyDescent="0.25">
      <c r="A544" s="2">
        <v>194917894811</v>
      </c>
      <c r="B544" t="s">
        <v>71</v>
      </c>
      <c r="C544" t="s">
        <v>72</v>
      </c>
      <c r="D544" t="s">
        <v>1655</v>
      </c>
      <c r="E544" t="s">
        <v>1656</v>
      </c>
      <c r="F544">
        <v>316210</v>
      </c>
      <c r="G544" s="35" t="s">
        <v>1596</v>
      </c>
      <c r="H544" s="31" t="s">
        <v>1657</v>
      </c>
      <c r="J544" t="s">
        <v>77</v>
      </c>
      <c r="M544">
        <v>150</v>
      </c>
      <c r="P544" t="s">
        <v>78</v>
      </c>
      <c r="Q544" s="55">
        <v>144.54545454545453</v>
      </c>
      <c r="R544" s="32">
        <v>79.5</v>
      </c>
      <c r="S544" s="33">
        <v>0.33</v>
      </c>
      <c r="T544" s="34">
        <f t="shared" si="17"/>
        <v>118.65671641791046</v>
      </c>
      <c r="U544" s="34">
        <f t="shared" si="18"/>
        <v>120.13992537313433</v>
      </c>
      <c r="V544" t="s">
        <v>79</v>
      </c>
      <c r="W544" s="32">
        <v>15</v>
      </c>
      <c r="X544" s="32" t="s">
        <v>80</v>
      </c>
      <c r="AD544" s="1">
        <v>194917894811</v>
      </c>
      <c r="AN544">
        <v>30</v>
      </c>
      <c r="AO544" t="s">
        <v>81</v>
      </c>
    </row>
    <row r="545" spans="1:41" ht="120" x14ac:dyDescent="0.25">
      <c r="A545" s="2">
        <v>194917993552</v>
      </c>
      <c r="B545" t="s">
        <v>71</v>
      </c>
      <c r="C545" t="s">
        <v>72</v>
      </c>
      <c r="D545" t="s">
        <v>1658</v>
      </c>
      <c r="E545" t="s">
        <v>1659</v>
      </c>
      <c r="F545">
        <v>316210</v>
      </c>
      <c r="G545" s="35" t="s">
        <v>1596</v>
      </c>
      <c r="H545" s="31" t="s">
        <v>1660</v>
      </c>
      <c r="J545" t="s">
        <v>77</v>
      </c>
      <c r="M545">
        <v>150</v>
      </c>
      <c r="P545" t="s">
        <v>78</v>
      </c>
      <c r="Q545" s="55">
        <v>144.54545454545453</v>
      </c>
      <c r="R545" s="32">
        <v>79.5</v>
      </c>
      <c r="S545" s="33">
        <v>0.33</v>
      </c>
      <c r="T545" s="34">
        <f t="shared" si="17"/>
        <v>118.65671641791046</v>
      </c>
      <c r="U545" s="34">
        <f t="shared" si="18"/>
        <v>120.13992537313433</v>
      </c>
      <c r="V545" t="s">
        <v>79</v>
      </c>
      <c r="W545" s="32">
        <v>15</v>
      </c>
      <c r="X545" s="32" t="s">
        <v>80</v>
      </c>
      <c r="AD545" s="1">
        <v>194917993552</v>
      </c>
      <c r="AN545">
        <v>30</v>
      </c>
      <c r="AO545" t="s">
        <v>81</v>
      </c>
    </row>
    <row r="546" spans="1:41" ht="120" x14ac:dyDescent="0.25">
      <c r="A546" s="2">
        <v>194917894828</v>
      </c>
      <c r="B546" t="s">
        <v>71</v>
      </c>
      <c r="C546" t="s">
        <v>72</v>
      </c>
      <c r="D546" t="s">
        <v>1661</v>
      </c>
      <c r="E546" t="s">
        <v>1662</v>
      </c>
      <c r="F546">
        <v>316210</v>
      </c>
      <c r="G546" s="35" t="s">
        <v>1596</v>
      </c>
      <c r="H546" s="31" t="s">
        <v>1663</v>
      </c>
      <c r="J546" t="s">
        <v>77</v>
      </c>
      <c r="M546">
        <v>150</v>
      </c>
      <c r="P546" t="s">
        <v>78</v>
      </c>
      <c r="Q546" s="55">
        <v>144.54545454545453</v>
      </c>
      <c r="R546" s="32">
        <v>79.5</v>
      </c>
      <c r="S546" s="33">
        <v>0.33</v>
      </c>
      <c r="T546" s="34">
        <f t="shared" si="17"/>
        <v>118.65671641791046</v>
      </c>
      <c r="U546" s="34">
        <f t="shared" si="18"/>
        <v>120.13992537313433</v>
      </c>
      <c r="V546" t="s">
        <v>79</v>
      </c>
      <c r="W546" s="32">
        <v>15</v>
      </c>
      <c r="X546" s="32" t="s">
        <v>80</v>
      </c>
      <c r="AD546" s="1">
        <v>194917894828</v>
      </c>
      <c r="AN546">
        <v>30</v>
      </c>
      <c r="AO546" t="s">
        <v>81</v>
      </c>
    </row>
    <row r="547" spans="1:41" ht="120" x14ac:dyDescent="0.25">
      <c r="A547" s="2">
        <v>194917993569</v>
      </c>
      <c r="B547" t="s">
        <v>71</v>
      </c>
      <c r="C547" t="s">
        <v>72</v>
      </c>
      <c r="D547" t="s">
        <v>1664</v>
      </c>
      <c r="E547" t="s">
        <v>1665</v>
      </c>
      <c r="F547">
        <v>316210</v>
      </c>
      <c r="G547" s="35" t="s">
        <v>1596</v>
      </c>
      <c r="H547" s="31" t="s">
        <v>1666</v>
      </c>
      <c r="J547" t="s">
        <v>77</v>
      </c>
      <c r="M547">
        <v>150</v>
      </c>
      <c r="P547" t="s">
        <v>78</v>
      </c>
      <c r="Q547" s="55">
        <v>144.54545454545453</v>
      </c>
      <c r="R547" s="32">
        <v>79.5</v>
      </c>
      <c r="S547" s="33">
        <v>0.33</v>
      </c>
      <c r="T547" s="34">
        <f t="shared" si="17"/>
        <v>118.65671641791046</v>
      </c>
      <c r="U547" s="34">
        <f t="shared" si="18"/>
        <v>120.13992537313433</v>
      </c>
      <c r="V547" t="s">
        <v>79</v>
      </c>
      <c r="W547" s="32">
        <v>15</v>
      </c>
      <c r="X547" s="32" t="s">
        <v>80</v>
      </c>
      <c r="AD547" s="1">
        <v>194917993569</v>
      </c>
      <c r="AN547">
        <v>30</v>
      </c>
      <c r="AO547" t="s">
        <v>81</v>
      </c>
    </row>
    <row r="548" spans="1:41" ht="120" x14ac:dyDescent="0.25">
      <c r="A548" s="2">
        <v>194917894835</v>
      </c>
      <c r="B548" t="s">
        <v>71</v>
      </c>
      <c r="C548" t="s">
        <v>72</v>
      </c>
      <c r="D548" t="s">
        <v>1667</v>
      </c>
      <c r="E548" t="s">
        <v>1668</v>
      </c>
      <c r="F548">
        <v>316210</v>
      </c>
      <c r="G548" s="35" t="s">
        <v>1596</v>
      </c>
      <c r="H548" s="31" t="s">
        <v>1669</v>
      </c>
      <c r="J548" t="s">
        <v>77</v>
      </c>
      <c r="M548">
        <v>150</v>
      </c>
      <c r="P548" t="s">
        <v>78</v>
      </c>
      <c r="Q548" s="55">
        <v>144.54545454545453</v>
      </c>
      <c r="R548" s="32">
        <v>79.5</v>
      </c>
      <c r="S548" s="33">
        <v>0.33</v>
      </c>
      <c r="T548" s="34">
        <f t="shared" si="17"/>
        <v>118.65671641791046</v>
      </c>
      <c r="U548" s="34">
        <f t="shared" si="18"/>
        <v>120.13992537313433</v>
      </c>
      <c r="V548" t="s">
        <v>79</v>
      </c>
      <c r="W548" s="32">
        <v>15</v>
      </c>
      <c r="X548" s="32" t="s">
        <v>80</v>
      </c>
      <c r="AD548" s="1">
        <v>194917894835</v>
      </c>
      <c r="AN548">
        <v>30</v>
      </c>
      <c r="AO548" t="s">
        <v>81</v>
      </c>
    </row>
    <row r="549" spans="1:41" ht="120" x14ac:dyDescent="0.25">
      <c r="A549" s="2">
        <v>194917993576</v>
      </c>
      <c r="B549" t="s">
        <v>71</v>
      </c>
      <c r="C549" t="s">
        <v>72</v>
      </c>
      <c r="D549" t="s">
        <v>1670</v>
      </c>
      <c r="E549" t="s">
        <v>1671</v>
      </c>
      <c r="F549">
        <v>316210</v>
      </c>
      <c r="G549" s="35" t="s">
        <v>1596</v>
      </c>
      <c r="H549" s="31" t="s">
        <v>1672</v>
      </c>
      <c r="J549" t="s">
        <v>77</v>
      </c>
      <c r="M549">
        <v>150</v>
      </c>
      <c r="P549" t="s">
        <v>78</v>
      </c>
      <c r="Q549" s="55">
        <v>144.54545454545453</v>
      </c>
      <c r="R549" s="32">
        <v>79.5</v>
      </c>
      <c r="S549" s="33">
        <v>0.33</v>
      </c>
      <c r="T549" s="34">
        <f t="shared" si="17"/>
        <v>118.65671641791046</v>
      </c>
      <c r="U549" s="34">
        <f t="shared" si="18"/>
        <v>120.13992537313433</v>
      </c>
      <c r="V549" t="s">
        <v>79</v>
      </c>
      <c r="W549" s="32">
        <v>15</v>
      </c>
      <c r="X549" s="32" t="s">
        <v>80</v>
      </c>
      <c r="AD549" s="1">
        <v>194917993576</v>
      </c>
      <c r="AN549">
        <v>30</v>
      </c>
      <c r="AO549" t="s">
        <v>81</v>
      </c>
    </row>
    <row r="550" spans="1:41" ht="120" x14ac:dyDescent="0.25">
      <c r="A550" s="2">
        <v>194917894842</v>
      </c>
      <c r="B550" t="s">
        <v>71</v>
      </c>
      <c r="C550" t="s">
        <v>72</v>
      </c>
      <c r="D550" t="s">
        <v>1673</v>
      </c>
      <c r="E550" t="s">
        <v>1674</v>
      </c>
      <c r="F550">
        <v>316210</v>
      </c>
      <c r="G550" s="35" t="s">
        <v>1596</v>
      </c>
      <c r="H550" s="31" t="s">
        <v>1675</v>
      </c>
      <c r="J550" t="s">
        <v>77</v>
      </c>
      <c r="M550">
        <v>150</v>
      </c>
      <c r="P550" t="s">
        <v>78</v>
      </c>
      <c r="Q550" s="55">
        <v>144.54545454545453</v>
      </c>
      <c r="R550" s="32">
        <v>79.5</v>
      </c>
      <c r="S550" s="33">
        <v>0.33</v>
      </c>
      <c r="T550" s="34">
        <f t="shared" si="17"/>
        <v>118.65671641791046</v>
      </c>
      <c r="U550" s="34">
        <f t="shared" si="18"/>
        <v>120.13992537313433</v>
      </c>
      <c r="V550" t="s">
        <v>79</v>
      </c>
      <c r="W550" s="32">
        <v>15</v>
      </c>
      <c r="X550" s="32" t="s">
        <v>80</v>
      </c>
      <c r="AD550" s="1">
        <v>194917894842</v>
      </c>
      <c r="AN550">
        <v>30</v>
      </c>
      <c r="AO550" t="s">
        <v>81</v>
      </c>
    </row>
    <row r="551" spans="1:41" ht="120" x14ac:dyDescent="0.25">
      <c r="A551" s="2">
        <v>194917993583</v>
      </c>
      <c r="B551" t="s">
        <v>71</v>
      </c>
      <c r="C551" t="s">
        <v>72</v>
      </c>
      <c r="D551" t="s">
        <v>1676</v>
      </c>
      <c r="E551" t="s">
        <v>1677</v>
      </c>
      <c r="F551">
        <v>316210</v>
      </c>
      <c r="G551" s="35" t="s">
        <v>1596</v>
      </c>
      <c r="H551" s="31" t="s">
        <v>1678</v>
      </c>
      <c r="J551" t="s">
        <v>77</v>
      </c>
      <c r="M551">
        <v>150</v>
      </c>
      <c r="P551" t="s">
        <v>78</v>
      </c>
      <c r="Q551" s="55">
        <v>144.54545454545453</v>
      </c>
      <c r="R551" s="32">
        <v>79.5</v>
      </c>
      <c r="S551" s="33">
        <v>0.33</v>
      </c>
      <c r="T551" s="34">
        <f t="shared" si="17"/>
        <v>118.65671641791046</v>
      </c>
      <c r="U551" s="34">
        <f t="shared" si="18"/>
        <v>120.13992537313433</v>
      </c>
      <c r="V551" t="s">
        <v>79</v>
      </c>
      <c r="W551" s="32">
        <v>15</v>
      </c>
      <c r="X551" s="32" t="s">
        <v>80</v>
      </c>
      <c r="AD551" s="1">
        <v>194917993583</v>
      </c>
      <c r="AN551">
        <v>30</v>
      </c>
      <c r="AO551" t="s">
        <v>81</v>
      </c>
    </row>
    <row r="552" spans="1:41" ht="105" x14ac:dyDescent="0.25">
      <c r="A552" s="2">
        <v>195017685552</v>
      </c>
      <c r="B552" t="s">
        <v>71</v>
      </c>
      <c r="C552" t="s">
        <v>72</v>
      </c>
      <c r="D552" t="s">
        <v>1679</v>
      </c>
      <c r="E552" t="s">
        <v>1680</v>
      </c>
      <c r="F552">
        <v>316210</v>
      </c>
      <c r="G552" s="35" t="s">
        <v>1681</v>
      </c>
      <c r="H552" s="31" t="s">
        <v>1682</v>
      </c>
      <c r="J552" t="s">
        <v>77</v>
      </c>
      <c r="M552">
        <v>150</v>
      </c>
      <c r="P552" t="s">
        <v>78</v>
      </c>
      <c r="Q552" s="55">
        <v>144.54545454545453</v>
      </c>
      <c r="R552" s="32">
        <v>79.5</v>
      </c>
      <c r="S552" s="33">
        <v>0.33</v>
      </c>
      <c r="T552" s="34">
        <f t="shared" si="17"/>
        <v>118.65671641791046</v>
      </c>
      <c r="U552" s="34">
        <f t="shared" si="18"/>
        <v>120.13992537313433</v>
      </c>
      <c r="V552" t="s">
        <v>79</v>
      </c>
      <c r="W552" s="32">
        <v>15</v>
      </c>
      <c r="X552" s="32" t="s">
        <v>80</v>
      </c>
      <c r="AD552" s="1">
        <v>195017685552</v>
      </c>
      <c r="AN552">
        <v>30</v>
      </c>
      <c r="AO552" t="s">
        <v>81</v>
      </c>
    </row>
    <row r="553" spans="1:41" ht="105" x14ac:dyDescent="0.25">
      <c r="A553" s="2">
        <v>195017685569</v>
      </c>
      <c r="B553" t="s">
        <v>71</v>
      </c>
      <c r="C553" t="s">
        <v>72</v>
      </c>
      <c r="D553" t="s">
        <v>1683</v>
      </c>
      <c r="E553" t="s">
        <v>1684</v>
      </c>
      <c r="F553">
        <v>316210</v>
      </c>
      <c r="G553" s="35" t="s">
        <v>1681</v>
      </c>
      <c r="H553" s="31" t="s">
        <v>1685</v>
      </c>
      <c r="J553" t="s">
        <v>77</v>
      </c>
      <c r="M553">
        <v>150</v>
      </c>
      <c r="P553" t="s">
        <v>78</v>
      </c>
      <c r="Q553" s="55">
        <v>144.54545454545453</v>
      </c>
      <c r="R553" s="32">
        <v>79.5</v>
      </c>
      <c r="S553" s="33">
        <v>0.33</v>
      </c>
      <c r="T553" s="34">
        <f t="shared" si="17"/>
        <v>118.65671641791046</v>
      </c>
      <c r="U553" s="34">
        <f t="shared" si="18"/>
        <v>120.13992537313433</v>
      </c>
      <c r="V553" t="s">
        <v>79</v>
      </c>
      <c r="W553" s="32">
        <v>15</v>
      </c>
      <c r="X553" s="32" t="s">
        <v>80</v>
      </c>
      <c r="AD553" s="1">
        <v>195017685569</v>
      </c>
      <c r="AN553">
        <v>30</v>
      </c>
      <c r="AO553" t="s">
        <v>81</v>
      </c>
    </row>
    <row r="554" spans="1:41" ht="105" x14ac:dyDescent="0.25">
      <c r="A554" s="2">
        <v>195017685576</v>
      </c>
      <c r="B554" t="s">
        <v>71</v>
      </c>
      <c r="C554" t="s">
        <v>72</v>
      </c>
      <c r="D554" t="s">
        <v>1686</v>
      </c>
      <c r="E554" t="s">
        <v>1687</v>
      </c>
      <c r="F554">
        <v>316210</v>
      </c>
      <c r="G554" s="35" t="s">
        <v>1681</v>
      </c>
      <c r="H554" s="31" t="s">
        <v>1688</v>
      </c>
      <c r="J554" t="s">
        <v>77</v>
      </c>
      <c r="M554">
        <v>150</v>
      </c>
      <c r="P554" t="s">
        <v>78</v>
      </c>
      <c r="Q554" s="55">
        <v>144.54545454545453</v>
      </c>
      <c r="R554" s="32">
        <v>79.5</v>
      </c>
      <c r="S554" s="33">
        <v>0.33</v>
      </c>
      <c r="T554" s="34">
        <f t="shared" si="17"/>
        <v>118.65671641791046</v>
      </c>
      <c r="U554" s="34">
        <f t="shared" si="18"/>
        <v>120.13992537313433</v>
      </c>
      <c r="V554" t="s">
        <v>79</v>
      </c>
      <c r="W554" s="32">
        <v>15</v>
      </c>
      <c r="X554" s="32" t="s">
        <v>80</v>
      </c>
      <c r="AD554" s="1">
        <v>195017685576</v>
      </c>
      <c r="AN554">
        <v>30</v>
      </c>
      <c r="AO554" t="s">
        <v>81</v>
      </c>
    </row>
    <row r="555" spans="1:41" ht="105" x14ac:dyDescent="0.25">
      <c r="A555" s="2">
        <v>195017685583</v>
      </c>
      <c r="B555" t="s">
        <v>71</v>
      </c>
      <c r="C555" t="s">
        <v>72</v>
      </c>
      <c r="D555" t="s">
        <v>1689</v>
      </c>
      <c r="E555" t="s">
        <v>1690</v>
      </c>
      <c r="F555">
        <v>316210</v>
      </c>
      <c r="G555" s="35" t="s">
        <v>1681</v>
      </c>
      <c r="H555" s="31" t="s">
        <v>1691</v>
      </c>
      <c r="J555" t="s">
        <v>77</v>
      </c>
      <c r="M555">
        <v>150</v>
      </c>
      <c r="P555" t="s">
        <v>78</v>
      </c>
      <c r="Q555" s="55">
        <v>144.54545454545453</v>
      </c>
      <c r="R555" s="32">
        <v>79.5</v>
      </c>
      <c r="S555" s="33">
        <v>0.33</v>
      </c>
      <c r="T555" s="34">
        <f t="shared" si="17"/>
        <v>118.65671641791046</v>
      </c>
      <c r="U555" s="34">
        <f t="shared" si="18"/>
        <v>120.13992537313433</v>
      </c>
      <c r="V555" t="s">
        <v>79</v>
      </c>
      <c r="W555" s="32">
        <v>15</v>
      </c>
      <c r="X555" s="32" t="s">
        <v>80</v>
      </c>
      <c r="AD555" s="1">
        <v>195017685583</v>
      </c>
      <c r="AN555">
        <v>30</v>
      </c>
      <c r="AO555" t="s">
        <v>81</v>
      </c>
    </row>
    <row r="556" spans="1:41" ht="105" x14ac:dyDescent="0.25">
      <c r="A556" s="2">
        <v>195017685590</v>
      </c>
      <c r="B556" t="s">
        <v>71</v>
      </c>
      <c r="C556" t="s">
        <v>72</v>
      </c>
      <c r="D556" t="s">
        <v>1692</v>
      </c>
      <c r="E556" t="s">
        <v>1693</v>
      </c>
      <c r="F556">
        <v>316210</v>
      </c>
      <c r="G556" s="35" t="s">
        <v>1681</v>
      </c>
      <c r="H556" s="31" t="s">
        <v>1694</v>
      </c>
      <c r="J556" t="s">
        <v>77</v>
      </c>
      <c r="M556">
        <v>150</v>
      </c>
      <c r="P556" t="s">
        <v>78</v>
      </c>
      <c r="Q556" s="55">
        <v>144.54545454545453</v>
      </c>
      <c r="R556" s="32">
        <v>79.5</v>
      </c>
      <c r="S556" s="33">
        <v>0.33</v>
      </c>
      <c r="T556" s="34">
        <f t="shared" si="17"/>
        <v>118.65671641791046</v>
      </c>
      <c r="U556" s="34">
        <f t="shared" si="18"/>
        <v>120.13992537313433</v>
      </c>
      <c r="V556" t="s">
        <v>79</v>
      </c>
      <c r="W556" s="32">
        <v>15</v>
      </c>
      <c r="X556" s="32" t="s">
        <v>80</v>
      </c>
      <c r="AD556" s="1">
        <v>195017685590</v>
      </c>
      <c r="AN556">
        <v>30</v>
      </c>
      <c r="AO556" t="s">
        <v>81</v>
      </c>
    </row>
    <row r="557" spans="1:41" ht="105" x14ac:dyDescent="0.25">
      <c r="A557" s="2">
        <v>195017685606</v>
      </c>
      <c r="B557" t="s">
        <v>71</v>
      </c>
      <c r="C557" t="s">
        <v>72</v>
      </c>
      <c r="D557" t="s">
        <v>1695</v>
      </c>
      <c r="E557" t="s">
        <v>1696</v>
      </c>
      <c r="F557">
        <v>316210</v>
      </c>
      <c r="G557" s="35" t="s">
        <v>1681</v>
      </c>
      <c r="H557" s="31" t="s">
        <v>1697</v>
      </c>
      <c r="J557" t="s">
        <v>77</v>
      </c>
      <c r="M557">
        <v>150</v>
      </c>
      <c r="P557" t="s">
        <v>78</v>
      </c>
      <c r="Q557" s="55">
        <v>144.54545454545453</v>
      </c>
      <c r="R557" s="32">
        <v>79.5</v>
      </c>
      <c r="S557" s="33">
        <v>0.33</v>
      </c>
      <c r="T557" s="34">
        <f t="shared" si="17"/>
        <v>118.65671641791046</v>
      </c>
      <c r="U557" s="34">
        <f t="shared" si="18"/>
        <v>120.13992537313433</v>
      </c>
      <c r="V557" t="s">
        <v>79</v>
      </c>
      <c r="W557" s="32">
        <v>15</v>
      </c>
      <c r="X557" s="32" t="s">
        <v>80</v>
      </c>
      <c r="AD557" s="1">
        <v>195017685606</v>
      </c>
      <c r="AN557">
        <v>30</v>
      </c>
      <c r="AO557" t="s">
        <v>81</v>
      </c>
    </row>
    <row r="558" spans="1:41" ht="105" x14ac:dyDescent="0.25">
      <c r="A558" s="2">
        <v>194917894859</v>
      </c>
      <c r="B558" t="s">
        <v>71</v>
      </c>
      <c r="C558" t="s">
        <v>72</v>
      </c>
      <c r="D558" t="s">
        <v>1698</v>
      </c>
      <c r="E558" t="s">
        <v>1699</v>
      </c>
      <c r="F558">
        <v>316210</v>
      </c>
      <c r="G558" s="35" t="s">
        <v>1681</v>
      </c>
      <c r="H558" s="31" t="s">
        <v>1700</v>
      </c>
      <c r="J558" t="s">
        <v>77</v>
      </c>
      <c r="M558">
        <v>150</v>
      </c>
      <c r="P558" t="s">
        <v>78</v>
      </c>
      <c r="Q558" s="55">
        <v>144.54545454545453</v>
      </c>
      <c r="R558" s="32">
        <v>79.5</v>
      </c>
      <c r="S558" s="33">
        <v>0.33</v>
      </c>
      <c r="T558" s="34">
        <f t="shared" si="17"/>
        <v>118.65671641791046</v>
      </c>
      <c r="U558" s="34">
        <f t="shared" si="18"/>
        <v>120.13992537313433</v>
      </c>
      <c r="V558" t="s">
        <v>79</v>
      </c>
      <c r="W558" s="32">
        <v>15</v>
      </c>
      <c r="X558" s="32" t="s">
        <v>80</v>
      </c>
      <c r="AD558" s="1">
        <v>194917894859</v>
      </c>
      <c r="AN558">
        <v>30</v>
      </c>
      <c r="AO558" t="s">
        <v>81</v>
      </c>
    </row>
    <row r="559" spans="1:41" ht="105" x14ac:dyDescent="0.25">
      <c r="A559" s="2">
        <v>194917993590</v>
      </c>
      <c r="B559" t="s">
        <v>71</v>
      </c>
      <c r="C559" t="s">
        <v>72</v>
      </c>
      <c r="D559" t="s">
        <v>1701</v>
      </c>
      <c r="E559" t="s">
        <v>1702</v>
      </c>
      <c r="F559">
        <v>316210</v>
      </c>
      <c r="G559" s="35" t="s">
        <v>1681</v>
      </c>
      <c r="H559" s="31" t="s">
        <v>1703</v>
      </c>
      <c r="J559" t="s">
        <v>77</v>
      </c>
      <c r="M559">
        <v>150</v>
      </c>
      <c r="P559" t="s">
        <v>78</v>
      </c>
      <c r="Q559" s="55">
        <v>144.54545454545453</v>
      </c>
      <c r="R559" s="32">
        <v>79.5</v>
      </c>
      <c r="S559" s="33">
        <v>0.33</v>
      </c>
      <c r="T559" s="34">
        <f t="shared" si="17"/>
        <v>118.65671641791046</v>
      </c>
      <c r="U559" s="34">
        <f t="shared" si="18"/>
        <v>120.13992537313433</v>
      </c>
      <c r="V559" t="s">
        <v>79</v>
      </c>
      <c r="W559" s="32">
        <v>15</v>
      </c>
      <c r="X559" s="32" t="s">
        <v>80</v>
      </c>
      <c r="AD559" s="1">
        <v>194917993590</v>
      </c>
      <c r="AN559">
        <v>30</v>
      </c>
      <c r="AO559" t="s">
        <v>81</v>
      </c>
    </row>
    <row r="560" spans="1:41" ht="105" x14ac:dyDescent="0.25">
      <c r="A560" s="2">
        <v>194917894866</v>
      </c>
      <c r="B560" t="s">
        <v>71</v>
      </c>
      <c r="C560" t="s">
        <v>72</v>
      </c>
      <c r="D560" t="s">
        <v>1704</v>
      </c>
      <c r="E560" t="s">
        <v>1705</v>
      </c>
      <c r="F560">
        <v>316210</v>
      </c>
      <c r="G560" s="35" t="s">
        <v>1681</v>
      </c>
      <c r="H560" s="31" t="s">
        <v>1706</v>
      </c>
      <c r="J560" t="s">
        <v>77</v>
      </c>
      <c r="M560">
        <v>150</v>
      </c>
      <c r="P560" t="s">
        <v>78</v>
      </c>
      <c r="Q560" s="55">
        <v>144.54545454545453</v>
      </c>
      <c r="R560" s="32">
        <v>79.5</v>
      </c>
      <c r="S560" s="33">
        <v>0.33</v>
      </c>
      <c r="T560" s="34">
        <f t="shared" si="17"/>
        <v>118.65671641791046</v>
      </c>
      <c r="U560" s="34">
        <f t="shared" si="18"/>
        <v>120.13992537313433</v>
      </c>
      <c r="V560" t="s">
        <v>79</v>
      </c>
      <c r="W560" s="32">
        <v>15</v>
      </c>
      <c r="X560" s="32" t="s">
        <v>80</v>
      </c>
      <c r="AD560" s="1">
        <v>194917894866</v>
      </c>
      <c r="AN560">
        <v>30</v>
      </c>
      <c r="AO560" t="s">
        <v>81</v>
      </c>
    </row>
    <row r="561" spans="1:41" ht="105" x14ac:dyDescent="0.25">
      <c r="A561" s="2">
        <v>194917993606</v>
      </c>
      <c r="B561" t="s">
        <v>71</v>
      </c>
      <c r="C561" t="s">
        <v>72</v>
      </c>
      <c r="D561" t="s">
        <v>1707</v>
      </c>
      <c r="E561" t="s">
        <v>1708</v>
      </c>
      <c r="F561">
        <v>316210</v>
      </c>
      <c r="G561" s="35" t="s">
        <v>1681</v>
      </c>
      <c r="H561" s="31" t="s">
        <v>1709</v>
      </c>
      <c r="J561" t="s">
        <v>77</v>
      </c>
      <c r="M561">
        <v>150</v>
      </c>
      <c r="P561" t="s">
        <v>78</v>
      </c>
      <c r="Q561" s="55">
        <v>144.54545454545453</v>
      </c>
      <c r="R561" s="32">
        <v>79.5</v>
      </c>
      <c r="S561" s="33">
        <v>0.33</v>
      </c>
      <c r="T561" s="34">
        <f t="shared" si="17"/>
        <v>118.65671641791046</v>
      </c>
      <c r="U561" s="34">
        <f t="shared" si="18"/>
        <v>120.13992537313433</v>
      </c>
      <c r="V561" t="s">
        <v>79</v>
      </c>
      <c r="W561" s="32">
        <v>15</v>
      </c>
      <c r="X561" s="32" t="s">
        <v>80</v>
      </c>
      <c r="AD561" s="1">
        <v>194917993606</v>
      </c>
      <c r="AN561">
        <v>30</v>
      </c>
      <c r="AO561" t="s">
        <v>81</v>
      </c>
    </row>
    <row r="562" spans="1:41" ht="105" x14ac:dyDescent="0.25">
      <c r="A562" s="2">
        <v>194917894873</v>
      </c>
      <c r="B562" t="s">
        <v>71</v>
      </c>
      <c r="C562" t="s">
        <v>72</v>
      </c>
      <c r="D562" t="s">
        <v>1710</v>
      </c>
      <c r="E562" t="s">
        <v>1711</v>
      </c>
      <c r="F562">
        <v>316210</v>
      </c>
      <c r="G562" s="35" t="s">
        <v>1681</v>
      </c>
      <c r="H562" s="31" t="s">
        <v>1712</v>
      </c>
      <c r="J562" t="s">
        <v>77</v>
      </c>
      <c r="M562">
        <v>150</v>
      </c>
      <c r="P562" t="s">
        <v>78</v>
      </c>
      <c r="Q562" s="55">
        <v>144.54545454545453</v>
      </c>
      <c r="R562" s="32">
        <v>79.5</v>
      </c>
      <c r="S562" s="33">
        <v>0.33</v>
      </c>
      <c r="T562" s="34">
        <f t="shared" si="17"/>
        <v>118.65671641791046</v>
      </c>
      <c r="U562" s="34">
        <f t="shared" si="18"/>
        <v>120.13992537313433</v>
      </c>
      <c r="V562" t="s">
        <v>79</v>
      </c>
      <c r="W562" s="32">
        <v>15</v>
      </c>
      <c r="X562" s="32" t="s">
        <v>80</v>
      </c>
      <c r="AD562" s="1">
        <v>194917894873</v>
      </c>
      <c r="AN562">
        <v>30</v>
      </c>
      <c r="AO562" t="s">
        <v>81</v>
      </c>
    </row>
    <row r="563" spans="1:41" ht="105" x14ac:dyDescent="0.25">
      <c r="A563" s="2">
        <v>194917993613</v>
      </c>
      <c r="B563" t="s">
        <v>71</v>
      </c>
      <c r="C563" t="s">
        <v>72</v>
      </c>
      <c r="D563" t="s">
        <v>1713</v>
      </c>
      <c r="E563" t="s">
        <v>1714</v>
      </c>
      <c r="F563">
        <v>316210</v>
      </c>
      <c r="G563" s="35" t="s">
        <v>1681</v>
      </c>
      <c r="H563" s="31" t="s">
        <v>1715</v>
      </c>
      <c r="J563" t="s">
        <v>77</v>
      </c>
      <c r="M563">
        <v>150</v>
      </c>
      <c r="P563" t="s">
        <v>78</v>
      </c>
      <c r="Q563" s="55">
        <v>144.54545454545453</v>
      </c>
      <c r="R563" s="32">
        <v>79.5</v>
      </c>
      <c r="S563" s="33">
        <v>0.33</v>
      </c>
      <c r="T563" s="34">
        <f t="shared" si="17"/>
        <v>118.65671641791046</v>
      </c>
      <c r="U563" s="34">
        <f t="shared" si="18"/>
        <v>120.13992537313433</v>
      </c>
      <c r="V563" t="s">
        <v>79</v>
      </c>
      <c r="W563" s="32">
        <v>15</v>
      </c>
      <c r="X563" s="32" t="s">
        <v>80</v>
      </c>
      <c r="AD563" s="1">
        <v>194917993613</v>
      </c>
      <c r="AN563">
        <v>30</v>
      </c>
      <c r="AO563" t="s">
        <v>81</v>
      </c>
    </row>
    <row r="564" spans="1:41" ht="105" x14ac:dyDescent="0.25">
      <c r="A564" s="2">
        <v>194917894880</v>
      </c>
      <c r="B564" t="s">
        <v>71</v>
      </c>
      <c r="C564" t="s">
        <v>72</v>
      </c>
      <c r="D564" t="s">
        <v>1716</v>
      </c>
      <c r="E564" t="s">
        <v>1717</v>
      </c>
      <c r="F564">
        <v>316210</v>
      </c>
      <c r="G564" s="35" t="s">
        <v>1681</v>
      </c>
      <c r="H564" s="31" t="s">
        <v>1718</v>
      </c>
      <c r="J564" t="s">
        <v>77</v>
      </c>
      <c r="M564">
        <v>150</v>
      </c>
      <c r="P564" t="s">
        <v>78</v>
      </c>
      <c r="Q564" s="55">
        <v>144.54545454545453</v>
      </c>
      <c r="R564" s="32">
        <v>79.5</v>
      </c>
      <c r="S564" s="33">
        <v>0.33</v>
      </c>
      <c r="T564" s="34">
        <f t="shared" si="17"/>
        <v>118.65671641791046</v>
      </c>
      <c r="U564" s="34">
        <f t="shared" si="18"/>
        <v>120.13992537313433</v>
      </c>
      <c r="V564" t="s">
        <v>79</v>
      </c>
      <c r="W564" s="32">
        <v>15</v>
      </c>
      <c r="X564" s="32" t="s">
        <v>80</v>
      </c>
      <c r="AD564" s="1">
        <v>194917894880</v>
      </c>
      <c r="AN564">
        <v>30</v>
      </c>
      <c r="AO564" t="s">
        <v>81</v>
      </c>
    </row>
    <row r="565" spans="1:41" ht="105" x14ac:dyDescent="0.25">
      <c r="A565" s="2">
        <v>194917993620</v>
      </c>
      <c r="B565" t="s">
        <v>71</v>
      </c>
      <c r="C565" t="s">
        <v>72</v>
      </c>
      <c r="D565" t="s">
        <v>1719</v>
      </c>
      <c r="E565" t="s">
        <v>1720</v>
      </c>
      <c r="F565">
        <v>316210</v>
      </c>
      <c r="G565" s="35" t="s">
        <v>1681</v>
      </c>
      <c r="H565" s="31" t="s">
        <v>1721</v>
      </c>
      <c r="J565" t="s">
        <v>77</v>
      </c>
      <c r="M565">
        <v>150</v>
      </c>
      <c r="P565" t="s">
        <v>78</v>
      </c>
      <c r="Q565" s="55">
        <v>144.54545454545453</v>
      </c>
      <c r="R565" s="32">
        <v>79.5</v>
      </c>
      <c r="S565" s="33">
        <v>0.33</v>
      </c>
      <c r="T565" s="34">
        <f t="shared" si="17"/>
        <v>118.65671641791046</v>
      </c>
      <c r="U565" s="34">
        <f t="shared" si="18"/>
        <v>120.13992537313433</v>
      </c>
      <c r="V565" t="s">
        <v>79</v>
      </c>
      <c r="W565" s="32">
        <v>15</v>
      </c>
      <c r="X565" s="32" t="s">
        <v>80</v>
      </c>
      <c r="AD565" s="1">
        <v>194917993620</v>
      </c>
      <c r="AN565">
        <v>30</v>
      </c>
      <c r="AO565" t="s">
        <v>81</v>
      </c>
    </row>
    <row r="566" spans="1:41" ht="105" x14ac:dyDescent="0.25">
      <c r="A566" s="2">
        <v>194917894897</v>
      </c>
      <c r="B566" t="s">
        <v>71</v>
      </c>
      <c r="C566" t="s">
        <v>72</v>
      </c>
      <c r="D566" t="s">
        <v>1722</v>
      </c>
      <c r="E566" t="s">
        <v>1723</v>
      </c>
      <c r="F566">
        <v>316210</v>
      </c>
      <c r="G566" s="35" t="s">
        <v>1681</v>
      </c>
      <c r="H566" s="31" t="s">
        <v>1724</v>
      </c>
      <c r="J566" t="s">
        <v>77</v>
      </c>
      <c r="M566">
        <v>150</v>
      </c>
      <c r="P566" t="s">
        <v>78</v>
      </c>
      <c r="Q566" s="55">
        <v>144.54545454545453</v>
      </c>
      <c r="R566" s="32">
        <v>79.5</v>
      </c>
      <c r="S566" s="33">
        <v>0.33</v>
      </c>
      <c r="T566" s="34">
        <f t="shared" si="17"/>
        <v>118.65671641791046</v>
      </c>
      <c r="U566" s="34">
        <f t="shared" si="18"/>
        <v>120.13992537313433</v>
      </c>
      <c r="V566" t="s">
        <v>79</v>
      </c>
      <c r="W566" s="32">
        <v>15</v>
      </c>
      <c r="X566" s="32" t="s">
        <v>80</v>
      </c>
      <c r="AD566" s="1">
        <v>194917894897</v>
      </c>
      <c r="AN566">
        <v>30</v>
      </c>
      <c r="AO566" t="s">
        <v>81</v>
      </c>
    </row>
    <row r="567" spans="1:41" ht="105" x14ac:dyDescent="0.25">
      <c r="A567" s="2">
        <v>194917993637</v>
      </c>
      <c r="B567" t="s">
        <v>71</v>
      </c>
      <c r="C567" t="s">
        <v>72</v>
      </c>
      <c r="D567" t="s">
        <v>1725</v>
      </c>
      <c r="E567" t="s">
        <v>1726</v>
      </c>
      <c r="F567">
        <v>316210</v>
      </c>
      <c r="G567" s="35" t="s">
        <v>1681</v>
      </c>
      <c r="H567" s="31" t="s">
        <v>1727</v>
      </c>
      <c r="J567" t="s">
        <v>77</v>
      </c>
      <c r="M567">
        <v>150</v>
      </c>
      <c r="P567" t="s">
        <v>78</v>
      </c>
      <c r="Q567" s="55">
        <v>144.54545454545453</v>
      </c>
      <c r="R567" s="32">
        <v>79.5</v>
      </c>
      <c r="S567" s="33">
        <v>0.33</v>
      </c>
      <c r="T567" s="34">
        <f t="shared" si="17"/>
        <v>118.65671641791046</v>
      </c>
      <c r="U567" s="34">
        <f t="shared" si="18"/>
        <v>120.13992537313433</v>
      </c>
      <c r="V567" t="s">
        <v>79</v>
      </c>
      <c r="W567" s="32">
        <v>15</v>
      </c>
      <c r="X567" s="32" t="s">
        <v>80</v>
      </c>
      <c r="AD567" s="1">
        <v>194917993637</v>
      </c>
      <c r="AN567">
        <v>30</v>
      </c>
      <c r="AO567" t="s">
        <v>81</v>
      </c>
    </row>
    <row r="568" spans="1:41" ht="105" x14ac:dyDescent="0.25">
      <c r="A568" s="2">
        <v>194917894903</v>
      </c>
      <c r="B568" t="s">
        <v>71</v>
      </c>
      <c r="C568" t="s">
        <v>72</v>
      </c>
      <c r="D568" t="s">
        <v>1728</v>
      </c>
      <c r="E568" t="s">
        <v>1729</v>
      </c>
      <c r="F568">
        <v>316210</v>
      </c>
      <c r="G568" s="35" t="s">
        <v>1681</v>
      </c>
      <c r="H568" s="31" t="s">
        <v>1730</v>
      </c>
      <c r="J568" t="s">
        <v>77</v>
      </c>
      <c r="M568">
        <v>150</v>
      </c>
      <c r="P568" t="s">
        <v>78</v>
      </c>
      <c r="Q568" s="55">
        <v>144.54545454545453</v>
      </c>
      <c r="R568" s="32">
        <v>79.5</v>
      </c>
      <c r="S568" s="33">
        <v>0.33</v>
      </c>
      <c r="T568" s="34">
        <f t="shared" si="17"/>
        <v>118.65671641791046</v>
      </c>
      <c r="U568" s="34">
        <f t="shared" si="18"/>
        <v>120.13992537313433</v>
      </c>
      <c r="V568" t="s">
        <v>79</v>
      </c>
      <c r="W568" s="32">
        <v>15</v>
      </c>
      <c r="X568" s="32" t="s">
        <v>80</v>
      </c>
      <c r="AD568" s="1">
        <v>194917894903</v>
      </c>
      <c r="AN568">
        <v>30</v>
      </c>
      <c r="AO568" t="s">
        <v>81</v>
      </c>
    </row>
    <row r="569" spans="1:41" ht="105" x14ac:dyDescent="0.25">
      <c r="A569" s="2">
        <v>194917993644</v>
      </c>
      <c r="B569" t="s">
        <v>71</v>
      </c>
      <c r="C569" t="s">
        <v>72</v>
      </c>
      <c r="D569" t="s">
        <v>1731</v>
      </c>
      <c r="E569" t="s">
        <v>1732</v>
      </c>
      <c r="F569">
        <v>316210</v>
      </c>
      <c r="G569" s="35" t="s">
        <v>1681</v>
      </c>
      <c r="H569" s="31" t="s">
        <v>1733</v>
      </c>
      <c r="J569" t="s">
        <v>77</v>
      </c>
      <c r="M569">
        <v>150</v>
      </c>
      <c r="P569" t="s">
        <v>78</v>
      </c>
      <c r="Q569" s="55">
        <v>144.54545454545453</v>
      </c>
      <c r="R569" s="32">
        <v>79.5</v>
      </c>
      <c r="S569" s="33">
        <v>0.33</v>
      </c>
      <c r="T569" s="34">
        <f t="shared" si="17"/>
        <v>118.65671641791046</v>
      </c>
      <c r="U569" s="34">
        <f t="shared" si="18"/>
        <v>120.13992537313433</v>
      </c>
      <c r="V569" t="s">
        <v>79</v>
      </c>
      <c r="W569" s="32">
        <v>15</v>
      </c>
      <c r="X569" s="32" t="s">
        <v>80</v>
      </c>
      <c r="AD569" s="1">
        <v>194917993644</v>
      </c>
      <c r="AN569">
        <v>30</v>
      </c>
      <c r="AO569" t="s">
        <v>81</v>
      </c>
    </row>
    <row r="570" spans="1:41" ht="105" x14ac:dyDescent="0.25">
      <c r="A570" s="2">
        <v>194917894910</v>
      </c>
      <c r="B570" t="s">
        <v>71</v>
      </c>
      <c r="C570" t="s">
        <v>72</v>
      </c>
      <c r="D570" t="s">
        <v>1734</v>
      </c>
      <c r="E570" t="s">
        <v>1735</v>
      </c>
      <c r="F570">
        <v>316210</v>
      </c>
      <c r="G570" s="35" t="s">
        <v>1681</v>
      </c>
      <c r="H570" s="31" t="s">
        <v>1736</v>
      </c>
      <c r="J570" t="s">
        <v>77</v>
      </c>
      <c r="M570">
        <v>150</v>
      </c>
      <c r="P570" t="s">
        <v>78</v>
      </c>
      <c r="Q570" s="55">
        <v>144.54545454545453</v>
      </c>
      <c r="R570" s="32">
        <v>79.5</v>
      </c>
      <c r="S570" s="33">
        <v>0.33</v>
      </c>
      <c r="T570" s="34">
        <f t="shared" si="17"/>
        <v>118.65671641791046</v>
      </c>
      <c r="U570" s="34">
        <f t="shared" si="18"/>
        <v>120.13992537313433</v>
      </c>
      <c r="V570" t="s">
        <v>79</v>
      </c>
      <c r="W570" s="32">
        <v>15</v>
      </c>
      <c r="X570" s="32" t="s">
        <v>80</v>
      </c>
      <c r="AD570" s="1">
        <v>194917894910</v>
      </c>
      <c r="AN570">
        <v>30</v>
      </c>
      <c r="AO570" t="s">
        <v>81</v>
      </c>
    </row>
    <row r="571" spans="1:41" ht="105" x14ac:dyDescent="0.25">
      <c r="A571" s="2">
        <v>194917993651</v>
      </c>
      <c r="B571" t="s">
        <v>71</v>
      </c>
      <c r="C571" t="s">
        <v>72</v>
      </c>
      <c r="D571" t="s">
        <v>1737</v>
      </c>
      <c r="E571" t="s">
        <v>1738</v>
      </c>
      <c r="F571">
        <v>316210</v>
      </c>
      <c r="G571" s="35" t="s">
        <v>1681</v>
      </c>
      <c r="H571" s="31" t="s">
        <v>1739</v>
      </c>
      <c r="J571" t="s">
        <v>77</v>
      </c>
      <c r="M571">
        <v>150</v>
      </c>
      <c r="P571" t="s">
        <v>78</v>
      </c>
      <c r="Q571" s="55">
        <v>144.54545454545453</v>
      </c>
      <c r="R571" s="32">
        <v>79.5</v>
      </c>
      <c r="S571" s="33">
        <v>0.33</v>
      </c>
      <c r="T571" s="34">
        <f t="shared" si="17"/>
        <v>118.65671641791046</v>
      </c>
      <c r="U571" s="34">
        <f t="shared" si="18"/>
        <v>120.13992537313433</v>
      </c>
      <c r="V571" t="s">
        <v>79</v>
      </c>
      <c r="W571" s="32">
        <v>15</v>
      </c>
      <c r="X571" s="32" t="s">
        <v>80</v>
      </c>
      <c r="AD571" s="1">
        <v>194917993651</v>
      </c>
      <c r="AN571">
        <v>30</v>
      </c>
      <c r="AO571" t="s">
        <v>81</v>
      </c>
    </row>
    <row r="572" spans="1:41" ht="105" x14ac:dyDescent="0.25">
      <c r="A572" s="2">
        <v>194917894927</v>
      </c>
      <c r="B572" t="s">
        <v>71</v>
      </c>
      <c r="C572" t="s">
        <v>72</v>
      </c>
      <c r="D572" t="s">
        <v>1740</v>
      </c>
      <c r="E572" t="s">
        <v>1741</v>
      </c>
      <c r="F572">
        <v>316210</v>
      </c>
      <c r="G572" s="35" t="s">
        <v>1681</v>
      </c>
      <c r="H572" s="31" t="s">
        <v>1742</v>
      </c>
      <c r="J572" t="s">
        <v>77</v>
      </c>
      <c r="M572">
        <v>150</v>
      </c>
      <c r="P572" t="s">
        <v>78</v>
      </c>
      <c r="Q572" s="55">
        <v>144.54545454545453</v>
      </c>
      <c r="R572" s="32">
        <v>79.5</v>
      </c>
      <c r="S572" s="33">
        <v>0.33</v>
      </c>
      <c r="T572" s="34">
        <f t="shared" si="17"/>
        <v>118.65671641791046</v>
      </c>
      <c r="U572" s="34">
        <f t="shared" si="18"/>
        <v>120.13992537313433</v>
      </c>
      <c r="V572" t="s">
        <v>79</v>
      </c>
      <c r="W572" s="32">
        <v>15</v>
      </c>
      <c r="X572" s="32" t="s">
        <v>80</v>
      </c>
      <c r="AD572" s="1">
        <v>194917894927</v>
      </c>
      <c r="AN572">
        <v>30</v>
      </c>
      <c r="AO572" t="s">
        <v>81</v>
      </c>
    </row>
    <row r="573" spans="1:41" ht="105" x14ac:dyDescent="0.25">
      <c r="A573" s="2">
        <v>194917993668</v>
      </c>
      <c r="B573" t="s">
        <v>71</v>
      </c>
      <c r="C573" t="s">
        <v>72</v>
      </c>
      <c r="D573" t="s">
        <v>1743</v>
      </c>
      <c r="E573" t="s">
        <v>1744</v>
      </c>
      <c r="F573">
        <v>316210</v>
      </c>
      <c r="G573" s="35" t="s">
        <v>1681</v>
      </c>
      <c r="H573" s="31" t="s">
        <v>1745</v>
      </c>
      <c r="J573" t="s">
        <v>77</v>
      </c>
      <c r="M573">
        <v>150</v>
      </c>
      <c r="P573" t="s">
        <v>78</v>
      </c>
      <c r="Q573" s="55">
        <v>144.54545454545453</v>
      </c>
      <c r="R573" s="32">
        <v>79.5</v>
      </c>
      <c r="S573" s="33">
        <v>0.33</v>
      </c>
      <c r="T573" s="34">
        <f t="shared" si="17"/>
        <v>118.65671641791046</v>
      </c>
      <c r="U573" s="34">
        <f t="shared" si="18"/>
        <v>120.13992537313433</v>
      </c>
      <c r="V573" t="s">
        <v>79</v>
      </c>
      <c r="W573" s="32">
        <v>15</v>
      </c>
      <c r="X573" s="32" t="s">
        <v>80</v>
      </c>
      <c r="AD573" s="1">
        <v>194917993668</v>
      </c>
      <c r="AN573">
        <v>30</v>
      </c>
      <c r="AO573" t="s">
        <v>81</v>
      </c>
    </row>
    <row r="574" spans="1:41" ht="105" x14ac:dyDescent="0.25">
      <c r="A574" s="2">
        <v>194917894934</v>
      </c>
      <c r="B574" t="s">
        <v>71</v>
      </c>
      <c r="C574" t="s">
        <v>72</v>
      </c>
      <c r="D574" t="s">
        <v>1746</v>
      </c>
      <c r="E574" t="s">
        <v>1747</v>
      </c>
      <c r="F574">
        <v>316210</v>
      </c>
      <c r="G574" s="35" t="s">
        <v>1681</v>
      </c>
      <c r="H574" s="31" t="s">
        <v>1748</v>
      </c>
      <c r="J574" t="s">
        <v>77</v>
      </c>
      <c r="M574">
        <v>150</v>
      </c>
      <c r="P574" t="s">
        <v>78</v>
      </c>
      <c r="Q574" s="55">
        <v>144.54545454545453</v>
      </c>
      <c r="R574" s="32">
        <v>79.5</v>
      </c>
      <c r="S574" s="33">
        <v>0.33</v>
      </c>
      <c r="T574" s="34">
        <f t="shared" si="17"/>
        <v>118.65671641791046</v>
      </c>
      <c r="U574" s="34">
        <f t="shared" si="18"/>
        <v>120.13992537313433</v>
      </c>
      <c r="V574" t="s">
        <v>79</v>
      </c>
      <c r="W574" s="32">
        <v>15</v>
      </c>
      <c r="X574" s="32" t="s">
        <v>80</v>
      </c>
      <c r="AD574" s="1">
        <v>194917894934</v>
      </c>
      <c r="AN574">
        <v>30</v>
      </c>
      <c r="AO574" t="s">
        <v>81</v>
      </c>
    </row>
    <row r="575" spans="1:41" ht="105" x14ac:dyDescent="0.25">
      <c r="A575" s="2">
        <v>194917993675</v>
      </c>
      <c r="B575" t="s">
        <v>71</v>
      </c>
      <c r="C575" t="s">
        <v>72</v>
      </c>
      <c r="D575" t="s">
        <v>1749</v>
      </c>
      <c r="E575" t="s">
        <v>1750</v>
      </c>
      <c r="F575">
        <v>316210</v>
      </c>
      <c r="G575" s="35" t="s">
        <v>1681</v>
      </c>
      <c r="H575" s="31" t="s">
        <v>1751</v>
      </c>
      <c r="J575" t="s">
        <v>77</v>
      </c>
      <c r="M575">
        <v>150</v>
      </c>
      <c r="P575" t="s">
        <v>78</v>
      </c>
      <c r="Q575" s="55">
        <v>144.54545454545453</v>
      </c>
      <c r="R575" s="32">
        <v>79.5</v>
      </c>
      <c r="S575" s="33">
        <v>0.33</v>
      </c>
      <c r="T575" s="34">
        <f t="shared" si="17"/>
        <v>118.65671641791046</v>
      </c>
      <c r="U575" s="34">
        <f t="shared" si="18"/>
        <v>120.13992537313433</v>
      </c>
      <c r="V575" t="s">
        <v>79</v>
      </c>
      <c r="W575" s="32">
        <v>15</v>
      </c>
      <c r="X575" s="32" t="s">
        <v>80</v>
      </c>
      <c r="AD575" s="1">
        <v>194917993675</v>
      </c>
      <c r="AN575">
        <v>30</v>
      </c>
      <c r="AO575" t="s">
        <v>81</v>
      </c>
    </row>
    <row r="576" spans="1:41" ht="105" x14ac:dyDescent="0.25">
      <c r="A576" s="2">
        <v>194917894941</v>
      </c>
      <c r="B576" t="s">
        <v>71</v>
      </c>
      <c r="C576" t="s">
        <v>72</v>
      </c>
      <c r="D576" t="s">
        <v>1752</v>
      </c>
      <c r="E576" t="s">
        <v>1753</v>
      </c>
      <c r="F576">
        <v>316210</v>
      </c>
      <c r="G576" s="35" t="s">
        <v>1681</v>
      </c>
      <c r="H576" s="31" t="s">
        <v>1754</v>
      </c>
      <c r="J576" t="s">
        <v>77</v>
      </c>
      <c r="M576">
        <v>150</v>
      </c>
      <c r="P576" t="s">
        <v>78</v>
      </c>
      <c r="Q576" s="55">
        <v>144.54545454545453</v>
      </c>
      <c r="R576" s="32">
        <v>79.5</v>
      </c>
      <c r="S576" s="33">
        <v>0.33</v>
      </c>
      <c r="T576" s="34">
        <f t="shared" si="17"/>
        <v>118.65671641791046</v>
      </c>
      <c r="U576" s="34">
        <f t="shared" si="18"/>
        <v>120.13992537313433</v>
      </c>
      <c r="V576" t="s">
        <v>79</v>
      </c>
      <c r="W576" s="32">
        <v>15</v>
      </c>
      <c r="X576" s="32" t="s">
        <v>80</v>
      </c>
      <c r="AD576" s="1">
        <v>194917894941</v>
      </c>
      <c r="AN576">
        <v>30</v>
      </c>
      <c r="AO576" t="s">
        <v>81</v>
      </c>
    </row>
    <row r="577" spans="1:41" ht="105" x14ac:dyDescent="0.25">
      <c r="A577" s="2">
        <v>194917993682</v>
      </c>
      <c r="B577" t="s">
        <v>71</v>
      </c>
      <c r="C577" t="s">
        <v>72</v>
      </c>
      <c r="D577" t="s">
        <v>1755</v>
      </c>
      <c r="E577" t="s">
        <v>1756</v>
      </c>
      <c r="F577">
        <v>316210</v>
      </c>
      <c r="G577" s="35" t="s">
        <v>1681</v>
      </c>
      <c r="H577" s="31" t="s">
        <v>1757</v>
      </c>
      <c r="J577" t="s">
        <v>77</v>
      </c>
      <c r="M577">
        <v>150</v>
      </c>
      <c r="P577" t="s">
        <v>78</v>
      </c>
      <c r="Q577" s="55">
        <v>144.54545454545453</v>
      </c>
      <c r="R577" s="32">
        <v>79.5</v>
      </c>
      <c r="S577" s="33">
        <v>0.33</v>
      </c>
      <c r="T577" s="34">
        <f t="shared" si="17"/>
        <v>118.65671641791046</v>
      </c>
      <c r="U577" s="34">
        <f t="shared" si="18"/>
        <v>120.13992537313433</v>
      </c>
      <c r="V577" t="s">
        <v>79</v>
      </c>
      <c r="W577" s="32">
        <v>15</v>
      </c>
      <c r="X577" s="32" t="s">
        <v>80</v>
      </c>
      <c r="AD577" s="1">
        <v>194917993682</v>
      </c>
      <c r="AN577">
        <v>30</v>
      </c>
      <c r="AO577" t="s">
        <v>81</v>
      </c>
    </row>
    <row r="578" spans="1:41" ht="105" x14ac:dyDescent="0.25">
      <c r="A578" s="2">
        <v>194917894958</v>
      </c>
      <c r="B578" t="s">
        <v>71</v>
      </c>
      <c r="C578" t="s">
        <v>72</v>
      </c>
      <c r="D578" t="s">
        <v>1758</v>
      </c>
      <c r="E578" t="s">
        <v>1759</v>
      </c>
      <c r="F578">
        <v>316210</v>
      </c>
      <c r="G578" s="35" t="s">
        <v>1681</v>
      </c>
      <c r="H578" s="31" t="s">
        <v>1760</v>
      </c>
      <c r="J578" t="s">
        <v>77</v>
      </c>
      <c r="M578">
        <v>150</v>
      </c>
      <c r="P578" t="s">
        <v>78</v>
      </c>
      <c r="Q578" s="55">
        <v>144.54545454545453</v>
      </c>
      <c r="R578" s="32">
        <v>79.5</v>
      </c>
      <c r="S578" s="33">
        <v>0.33</v>
      </c>
      <c r="T578" s="34">
        <f t="shared" si="17"/>
        <v>118.65671641791046</v>
      </c>
      <c r="U578" s="34">
        <f t="shared" si="18"/>
        <v>120.13992537313433</v>
      </c>
      <c r="V578" t="s">
        <v>79</v>
      </c>
      <c r="W578" s="32">
        <v>15</v>
      </c>
      <c r="X578" s="32" t="s">
        <v>80</v>
      </c>
      <c r="AD578" s="1">
        <v>194917894958</v>
      </c>
      <c r="AN578">
        <v>30</v>
      </c>
      <c r="AO578" t="s">
        <v>81</v>
      </c>
    </row>
    <row r="579" spans="1:41" ht="105" x14ac:dyDescent="0.25">
      <c r="A579" s="2">
        <v>194917993699</v>
      </c>
      <c r="B579" t="s">
        <v>71</v>
      </c>
      <c r="C579" t="s">
        <v>72</v>
      </c>
      <c r="D579" t="s">
        <v>1761</v>
      </c>
      <c r="E579" t="s">
        <v>1762</v>
      </c>
      <c r="F579">
        <v>316210</v>
      </c>
      <c r="G579" s="35" t="s">
        <v>1681</v>
      </c>
      <c r="H579" s="31" t="s">
        <v>1763</v>
      </c>
      <c r="J579" t="s">
        <v>77</v>
      </c>
      <c r="M579">
        <v>150</v>
      </c>
      <c r="P579" t="s">
        <v>78</v>
      </c>
      <c r="Q579" s="55">
        <v>144.54545454545453</v>
      </c>
      <c r="R579" s="32">
        <v>79.5</v>
      </c>
      <c r="S579" s="33">
        <v>0.33</v>
      </c>
      <c r="T579" s="34">
        <f t="shared" si="17"/>
        <v>118.65671641791046</v>
      </c>
      <c r="U579" s="34">
        <f t="shared" si="18"/>
        <v>120.13992537313433</v>
      </c>
      <c r="V579" t="s">
        <v>79</v>
      </c>
      <c r="W579" s="32">
        <v>15</v>
      </c>
      <c r="X579" s="32" t="s">
        <v>80</v>
      </c>
      <c r="AD579" s="1">
        <v>194917993699</v>
      </c>
      <c r="AN579">
        <v>30</v>
      </c>
      <c r="AO579" t="s">
        <v>81</v>
      </c>
    </row>
    <row r="580" spans="1:41" ht="105" x14ac:dyDescent="0.25">
      <c r="A580" s="2">
        <v>194917894965</v>
      </c>
      <c r="B580" t="s">
        <v>71</v>
      </c>
      <c r="C580" t="s">
        <v>72</v>
      </c>
      <c r="D580" t="s">
        <v>1764</v>
      </c>
      <c r="E580" t="s">
        <v>1765</v>
      </c>
      <c r="F580">
        <v>316210</v>
      </c>
      <c r="G580" s="35" t="s">
        <v>1681</v>
      </c>
      <c r="H580" s="31" t="s">
        <v>1766</v>
      </c>
      <c r="J580" t="s">
        <v>77</v>
      </c>
      <c r="M580">
        <v>150</v>
      </c>
      <c r="P580" t="s">
        <v>78</v>
      </c>
      <c r="Q580" s="55">
        <v>144.54545454545453</v>
      </c>
      <c r="R580" s="32">
        <v>79.5</v>
      </c>
      <c r="S580" s="33">
        <v>0.33</v>
      </c>
      <c r="T580" s="34">
        <f t="shared" ref="T580:T643" si="19">R580/(1-S580)</f>
        <v>118.65671641791046</v>
      </c>
      <c r="U580" s="34">
        <f t="shared" ref="U580:U643" si="20">T580*(1+1.25%)</f>
        <v>120.13992537313433</v>
      </c>
      <c r="V580" t="s">
        <v>79</v>
      </c>
      <c r="W580" s="32">
        <v>15</v>
      </c>
      <c r="X580" s="32" t="s">
        <v>80</v>
      </c>
      <c r="AD580" s="1">
        <v>194917894965</v>
      </c>
      <c r="AN580">
        <v>30</v>
      </c>
      <c r="AO580" t="s">
        <v>81</v>
      </c>
    </row>
    <row r="581" spans="1:41" ht="105" x14ac:dyDescent="0.25">
      <c r="A581" s="2">
        <v>194917993705</v>
      </c>
      <c r="B581" t="s">
        <v>71</v>
      </c>
      <c r="C581" t="s">
        <v>72</v>
      </c>
      <c r="D581" t="s">
        <v>1767</v>
      </c>
      <c r="E581" t="s">
        <v>1768</v>
      </c>
      <c r="F581">
        <v>316210</v>
      </c>
      <c r="G581" s="35" t="s">
        <v>1681</v>
      </c>
      <c r="H581" s="31" t="s">
        <v>1769</v>
      </c>
      <c r="J581" t="s">
        <v>77</v>
      </c>
      <c r="M581">
        <v>150</v>
      </c>
      <c r="P581" t="s">
        <v>78</v>
      </c>
      <c r="Q581" s="55">
        <v>144.54545454545453</v>
      </c>
      <c r="R581" s="32">
        <v>79.5</v>
      </c>
      <c r="S581" s="33">
        <v>0.33</v>
      </c>
      <c r="T581" s="34">
        <f t="shared" si="19"/>
        <v>118.65671641791046</v>
      </c>
      <c r="U581" s="34">
        <f t="shared" si="20"/>
        <v>120.13992537313433</v>
      </c>
      <c r="V581" t="s">
        <v>79</v>
      </c>
      <c r="W581" s="32">
        <v>15</v>
      </c>
      <c r="X581" s="32" t="s">
        <v>80</v>
      </c>
      <c r="AD581" s="1">
        <v>194917993705</v>
      </c>
      <c r="AN581">
        <v>30</v>
      </c>
      <c r="AO581" t="s">
        <v>81</v>
      </c>
    </row>
    <row r="582" spans="1:41" ht="105" x14ac:dyDescent="0.25">
      <c r="A582" s="2">
        <v>194917894972</v>
      </c>
      <c r="B582" t="s">
        <v>71</v>
      </c>
      <c r="C582" t="s">
        <v>72</v>
      </c>
      <c r="D582" t="s">
        <v>1770</v>
      </c>
      <c r="E582" t="s">
        <v>1771</v>
      </c>
      <c r="F582">
        <v>316210</v>
      </c>
      <c r="G582" s="35" t="s">
        <v>1681</v>
      </c>
      <c r="H582" s="31" t="s">
        <v>1772</v>
      </c>
      <c r="J582" t="s">
        <v>77</v>
      </c>
      <c r="M582">
        <v>150</v>
      </c>
      <c r="P582" t="s">
        <v>78</v>
      </c>
      <c r="Q582" s="55">
        <v>144.54545454545453</v>
      </c>
      <c r="R582" s="32">
        <v>79.5</v>
      </c>
      <c r="S582" s="33">
        <v>0.33</v>
      </c>
      <c r="T582" s="34">
        <f t="shared" si="19"/>
        <v>118.65671641791046</v>
      </c>
      <c r="U582" s="34">
        <f t="shared" si="20"/>
        <v>120.13992537313433</v>
      </c>
      <c r="V582" t="s">
        <v>79</v>
      </c>
      <c r="W582" s="32">
        <v>15</v>
      </c>
      <c r="X582" s="32" t="s">
        <v>80</v>
      </c>
      <c r="AD582" s="1">
        <v>194917894972</v>
      </c>
      <c r="AN582">
        <v>30</v>
      </c>
      <c r="AO582" t="s">
        <v>81</v>
      </c>
    </row>
    <row r="583" spans="1:41" ht="105" x14ac:dyDescent="0.25">
      <c r="A583" s="2">
        <v>194917993712</v>
      </c>
      <c r="B583" t="s">
        <v>71</v>
      </c>
      <c r="C583" t="s">
        <v>72</v>
      </c>
      <c r="D583" t="s">
        <v>1773</v>
      </c>
      <c r="E583" t="s">
        <v>1774</v>
      </c>
      <c r="F583">
        <v>316210</v>
      </c>
      <c r="G583" s="35" t="s">
        <v>1681</v>
      </c>
      <c r="H583" s="31" t="s">
        <v>1775</v>
      </c>
      <c r="J583" t="s">
        <v>77</v>
      </c>
      <c r="M583">
        <v>150</v>
      </c>
      <c r="P583" t="s">
        <v>78</v>
      </c>
      <c r="Q583" s="55">
        <v>144.54545454545453</v>
      </c>
      <c r="R583" s="32">
        <v>79.5</v>
      </c>
      <c r="S583" s="33">
        <v>0.33</v>
      </c>
      <c r="T583" s="34">
        <f t="shared" si="19"/>
        <v>118.65671641791046</v>
      </c>
      <c r="U583" s="34">
        <f t="shared" si="20"/>
        <v>120.13992537313433</v>
      </c>
      <c r="V583" t="s">
        <v>79</v>
      </c>
      <c r="W583" s="32">
        <v>15</v>
      </c>
      <c r="X583" s="32" t="s">
        <v>80</v>
      </c>
      <c r="AD583" s="1">
        <v>194917993712</v>
      </c>
      <c r="AN583">
        <v>30</v>
      </c>
      <c r="AO583" t="s">
        <v>81</v>
      </c>
    </row>
    <row r="584" spans="1:41" ht="105" x14ac:dyDescent="0.25">
      <c r="A584" s="2">
        <v>194917894989</v>
      </c>
      <c r="B584" t="s">
        <v>71</v>
      </c>
      <c r="C584" t="s">
        <v>72</v>
      </c>
      <c r="D584" t="s">
        <v>1776</v>
      </c>
      <c r="E584" t="s">
        <v>1777</v>
      </c>
      <c r="F584">
        <v>316210</v>
      </c>
      <c r="G584" s="35" t="s">
        <v>1681</v>
      </c>
      <c r="H584" s="31" t="s">
        <v>1778</v>
      </c>
      <c r="J584" t="s">
        <v>77</v>
      </c>
      <c r="M584">
        <v>150</v>
      </c>
      <c r="P584" t="s">
        <v>78</v>
      </c>
      <c r="Q584" s="55">
        <v>144.54545454545453</v>
      </c>
      <c r="R584" s="32">
        <v>79.5</v>
      </c>
      <c r="S584" s="33">
        <v>0.33</v>
      </c>
      <c r="T584" s="34">
        <f t="shared" si="19"/>
        <v>118.65671641791046</v>
      </c>
      <c r="U584" s="34">
        <f t="shared" si="20"/>
        <v>120.13992537313433</v>
      </c>
      <c r="V584" t="s">
        <v>79</v>
      </c>
      <c r="W584" s="32">
        <v>15</v>
      </c>
      <c r="X584" s="32" t="s">
        <v>80</v>
      </c>
      <c r="AD584" s="1">
        <v>194917894989</v>
      </c>
      <c r="AN584">
        <v>30</v>
      </c>
      <c r="AO584" t="s">
        <v>81</v>
      </c>
    </row>
    <row r="585" spans="1:41" ht="105" x14ac:dyDescent="0.25">
      <c r="A585" s="2">
        <v>194917993729</v>
      </c>
      <c r="B585" t="s">
        <v>71</v>
      </c>
      <c r="C585" t="s">
        <v>72</v>
      </c>
      <c r="D585" t="s">
        <v>1779</v>
      </c>
      <c r="E585" t="s">
        <v>1780</v>
      </c>
      <c r="F585">
        <v>316210</v>
      </c>
      <c r="G585" s="35" t="s">
        <v>1681</v>
      </c>
      <c r="H585" s="31" t="s">
        <v>1781</v>
      </c>
      <c r="J585" t="s">
        <v>77</v>
      </c>
      <c r="M585">
        <v>150</v>
      </c>
      <c r="P585" t="s">
        <v>78</v>
      </c>
      <c r="Q585" s="55">
        <v>144.54545454545453</v>
      </c>
      <c r="R585" s="32">
        <v>79.5</v>
      </c>
      <c r="S585" s="33">
        <v>0.33</v>
      </c>
      <c r="T585" s="34">
        <f t="shared" si="19"/>
        <v>118.65671641791046</v>
      </c>
      <c r="U585" s="34">
        <f t="shared" si="20"/>
        <v>120.13992537313433</v>
      </c>
      <c r="V585" t="s">
        <v>79</v>
      </c>
      <c r="W585" s="32">
        <v>15</v>
      </c>
      <c r="X585" s="32" t="s">
        <v>80</v>
      </c>
      <c r="AD585" s="1">
        <v>194917993729</v>
      </c>
      <c r="AN585">
        <v>30</v>
      </c>
      <c r="AO585" t="s">
        <v>81</v>
      </c>
    </row>
    <row r="586" spans="1:41" ht="120" x14ac:dyDescent="0.25">
      <c r="A586" s="2">
        <v>194917894996</v>
      </c>
      <c r="B586" t="s">
        <v>71</v>
      </c>
      <c r="C586" t="s">
        <v>72</v>
      </c>
      <c r="D586" t="s">
        <v>1782</v>
      </c>
      <c r="E586" t="s">
        <v>1783</v>
      </c>
      <c r="F586">
        <v>316210</v>
      </c>
      <c r="G586" s="35" t="s">
        <v>1784</v>
      </c>
      <c r="H586" s="31" t="s">
        <v>1785</v>
      </c>
      <c r="J586" t="s">
        <v>77</v>
      </c>
      <c r="M586">
        <v>170</v>
      </c>
      <c r="P586" t="s">
        <v>78</v>
      </c>
      <c r="Q586" s="55">
        <v>159.09090909090907</v>
      </c>
      <c r="R586" s="32">
        <v>87.5</v>
      </c>
      <c r="S586" s="33">
        <v>0.33</v>
      </c>
      <c r="T586" s="34">
        <f t="shared" si="19"/>
        <v>130.59701492537314</v>
      </c>
      <c r="U586" s="34">
        <f t="shared" si="20"/>
        <v>132.2294776119403</v>
      </c>
      <c r="V586" t="s">
        <v>79</v>
      </c>
      <c r="W586" s="32">
        <v>15</v>
      </c>
      <c r="X586" s="32" t="s">
        <v>80</v>
      </c>
      <c r="AD586" s="1">
        <v>194917894996</v>
      </c>
      <c r="AN586">
        <v>30</v>
      </c>
      <c r="AO586" t="s">
        <v>81</v>
      </c>
    </row>
    <row r="587" spans="1:41" ht="120" x14ac:dyDescent="0.25">
      <c r="A587" s="2">
        <v>194917993736</v>
      </c>
      <c r="B587" t="s">
        <v>71</v>
      </c>
      <c r="C587" t="s">
        <v>72</v>
      </c>
      <c r="D587" t="s">
        <v>1786</v>
      </c>
      <c r="E587" t="s">
        <v>1787</v>
      </c>
      <c r="F587">
        <v>316210</v>
      </c>
      <c r="G587" s="35" t="s">
        <v>1784</v>
      </c>
      <c r="H587" s="31" t="s">
        <v>1788</v>
      </c>
      <c r="J587" t="s">
        <v>77</v>
      </c>
      <c r="M587">
        <v>170</v>
      </c>
      <c r="P587" t="s">
        <v>78</v>
      </c>
      <c r="Q587" s="55">
        <v>159.09090909090907</v>
      </c>
      <c r="R587" s="32">
        <v>87.5</v>
      </c>
      <c r="S587" s="33">
        <v>0.33</v>
      </c>
      <c r="T587" s="34">
        <f t="shared" si="19"/>
        <v>130.59701492537314</v>
      </c>
      <c r="U587" s="34">
        <f t="shared" si="20"/>
        <v>132.2294776119403</v>
      </c>
      <c r="V587" t="s">
        <v>79</v>
      </c>
      <c r="W587" s="32">
        <v>15</v>
      </c>
      <c r="X587" s="32" t="s">
        <v>80</v>
      </c>
      <c r="AD587" s="1">
        <v>194917993736</v>
      </c>
      <c r="AN587">
        <v>30</v>
      </c>
      <c r="AO587" t="s">
        <v>81</v>
      </c>
    </row>
    <row r="588" spans="1:41" ht="120" x14ac:dyDescent="0.25">
      <c r="A588" s="2">
        <v>194917895009</v>
      </c>
      <c r="B588" t="s">
        <v>71</v>
      </c>
      <c r="C588" t="s">
        <v>72</v>
      </c>
      <c r="D588" t="s">
        <v>1789</v>
      </c>
      <c r="E588" t="s">
        <v>1790</v>
      </c>
      <c r="F588">
        <v>316210</v>
      </c>
      <c r="G588" s="35" t="s">
        <v>1784</v>
      </c>
      <c r="H588" s="31" t="s">
        <v>1791</v>
      </c>
      <c r="J588" t="s">
        <v>77</v>
      </c>
      <c r="M588">
        <v>170</v>
      </c>
      <c r="P588" t="s">
        <v>78</v>
      </c>
      <c r="Q588" s="55">
        <v>159.09090909090907</v>
      </c>
      <c r="R588" s="32">
        <v>87.5</v>
      </c>
      <c r="S588" s="33">
        <v>0.33</v>
      </c>
      <c r="T588" s="34">
        <f t="shared" si="19"/>
        <v>130.59701492537314</v>
      </c>
      <c r="U588" s="34">
        <f t="shared" si="20"/>
        <v>132.2294776119403</v>
      </c>
      <c r="V588" t="s">
        <v>79</v>
      </c>
      <c r="W588" s="32">
        <v>15</v>
      </c>
      <c r="X588" s="32" t="s">
        <v>80</v>
      </c>
      <c r="AD588" s="1">
        <v>194917895009</v>
      </c>
      <c r="AN588">
        <v>30</v>
      </c>
      <c r="AO588" t="s">
        <v>81</v>
      </c>
    </row>
    <row r="589" spans="1:41" ht="120" x14ac:dyDescent="0.25">
      <c r="A589" s="2">
        <v>194917993743</v>
      </c>
      <c r="B589" t="s">
        <v>71</v>
      </c>
      <c r="C589" t="s">
        <v>72</v>
      </c>
      <c r="D589" t="s">
        <v>1792</v>
      </c>
      <c r="E589" t="s">
        <v>1793</v>
      </c>
      <c r="F589">
        <v>316210</v>
      </c>
      <c r="G589" s="35" t="s">
        <v>1784</v>
      </c>
      <c r="H589" s="31" t="s">
        <v>1794</v>
      </c>
      <c r="J589" t="s">
        <v>77</v>
      </c>
      <c r="M589">
        <v>170</v>
      </c>
      <c r="P589" t="s">
        <v>78</v>
      </c>
      <c r="Q589" s="55">
        <v>159.09090909090907</v>
      </c>
      <c r="R589" s="32">
        <v>87.5</v>
      </c>
      <c r="S589" s="33">
        <v>0.33</v>
      </c>
      <c r="T589" s="34">
        <f t="shared" si="19"/>
        <v>130.59701492537314</v>
      </c>
      <c r="U589" s="34">
        <f t="shared" si="20"/>
        <v>132.2294776119403</v>
      </c>
      <c r="V589" t="s">
        <v>79</v>
      </c>
      <c r="W589" s="32">
        <v>15</v>
      </c>
      <c r="X589" s="32" t="s">
        <v>80</v>
      </c>
      <c r="AD589" s="1">
        <v>194917993743</v>
      </c>
      <c r="AN589">
        <v>30</v>
      </c>
      <c r="AO589" t="s">
        <v>81</v>
      </c>
    </row>
    <row r="590" spans="1:41" ht="120" x14ac:dyDescent="0.25">
      <c r="A590" s="2">
        <v>194917895016</v>
      </c>
      <c r="B590" t="s">
        <v>71</v>
      </c>
      <c r="C590" t="s">
        <v>72</v>
      </c>
      <c r="D590" t="s">
        <v>1795</v>
      </c>
      <c r="E590" t="s">
        <v>1796</v>
      </c>
      <c r="F590">
        <v>316210</v>
      </c>
      <c r="G590" s="35" t="s">
        <v>1784</v>
      </c>
      <c r="H590" s="31" t="s">
        <v>1797</v>
      </c>
      <c r="J590" t="s">
        <v>77</v>
      </c>
      <c r="M590">
        <v>170</v>
      </c>
      <c r="P590" t="s">
        <v>78</v>
      </c>
      <c r="Q590" s="55">
        <v>159.09090909090907</v>
      </c>
      <c r="R590" s="32">
        <v>87.5</v>
      </c>
      <c r="S590" s="33">
        <v>0.33</v>
      </c>
      <c r="T590" s="34">
        <f t="shared" si="19"/>
        <v>130.59701492537314</v>
      </c>
      <c r="U590" s="34">
        <f t="shared" si="20"/>
        <v>132.2294776119403</v>
      </c>
      <c r="V590" t="s">
        <v>79</v>
      </c>
      <c r="W590" s="32">
        <v>15</v>
      </c>
      <c r="X590" s="32" t="s">
        <v>80</v>
      </c>
      <c r="AD590" s="1">
        <v>194917895016</v>
      </c>
      <c r="AN590">
        <v>30</v>
      </c>
      <c r="AO590" t="s">
        <v>81</v>
      </c>
    </row>
    <row r="591" spans="1:41" ht="120" x14ac:dyDescent="0.25">
      <c r="A591" s="2">
        <v>194917993750</v>
      </c>
      <c r="B591" t="s">
        <v>71</v>
      </c>
      <c r="C591" t="s">
        <v>72</v>
      </c>
      <c r="D591" t="s">
        <v>1798</v>
      </c>
      <c r="E591" t="s">
        <v>1799</v>
      </c>
      <c r="F591">
        <v>316210</v>
      </c>
      <c r="G591" s="35" t="s">
        <v>1784</v>
      </c>
      <c r="H591" s="31" t="s">
        <v>1800</v>
      </c>
      <c r="J591" t="s">
        <v>77</v>
      </c>
      <c r="M591">
        <v>170</v>
      </c>
      <c r="P591" t="s">
        <v>78</v>
      </c>
      <c r="Q591" s="55">
        <v>159.09090909090907</v>
      </c>
      <c r="R591" s="32">
        <v>87.5</v>
      </c>
      <c r="S591" s="33">
        <v>0.33</v>
      </c>
      <c r="T591" s="34">
        <f t="shared" si="19"/>
        <v>130.59701492537314</v>
      </c>
      <c r="U591" s="34">
        <f t="shared" si="20"/>
        <v>132.2294776119403</v>
      </c>
      <c r="V591" t="s">
        <v>79</v>
      </c>
      <c r="W591" s="32">
        <v>15</v>
      </c>
      <c r="X591" s="32" t="s">
        <v>80</v>
      </c>
      <c r="AD591" s="1">
        <v>194917993750</v>
      </c>
      <c r="AN591">
        <v>30</v>
      </c>
      <c r="AO591" t="s">
        <v>81</v>
      </c>
    </row>
    <row r="592" spans="1:41" ht="120" x14ac:dyDescent="0.25">
      <c r="A592" s="2">
        <v>194917895023</v>
      </c>
      <c r="B592" t="s">
        <v>71</v>
      </c>
      <c r="C592" t="s">
        <v>72</v>
      </c>
      <c r="D592" t="s">
        <v>1801</v>
      </c>
      <c r="E592" t="s">
        <v>1802</v>
      </c>
      <c r="F592">
        <v>316210</v>
      </c>
      <c r="G592" s="35" t="s">
        <v>1784</v>
      </c>
      <c r="H592" s="31" t="s">
        <v>1803</v>
      </c>
      <c r="J592" t="s">
        <v>77</v>
      </c>
      <c r="M592">
        <v>170</v>
      </c>
      <c r="P592" t="s">
        <v>78</v>
      </c>
      <c r="Q592" s="55">
        <v>159.09090909090907</v>
      </c>
      <c r="R592" s="32">
        <v>87.5</v>
      </c>
      <c r="S592" s="33">
        <v>0.33</v>
      </c>
      <c r="T592" s="34">
        <f t="shared" si="19"/>
        <v>130.59701492537314</v>
      </c>
      <c r="U592" s="34">
        <f t="shared" si="20"/>
        <v>132.2294776119403</v>
      </c>
      <c r="V592" t="s">
        <v>79</v>
      </c>
      <c r="W592" s="32">
        <v>15</v>
      </c>
      <c r="X592" s="32" t="s">
        <v>80</v>
      </c>
      <c r="AD592" s="1">
        <v>194917895023</v>
      </c>
      <c r="AN592">
        <v>30</v>
      </c>
      <c r="AO592" t="s">
        <v>81</v>
      </c>
    </row>
    <row r="593" spans="1:41" ht="120" x14ac:dyDescent="0.25">
      <c r="A593" s="2">
        <v>194917993767</v>
      </c>
      <c r="B593" t="s">
        <v>71</v>
      </c>
      <c r="C593" t="s">
        <v>72</v>
      </c>
      <c r="D593" t="s">
        <v>1804</v>
      </c>
      <c r="E593" t="s">
        <v>1805</v>
      </c>
      <c r="F593">
        <v>316210</v>
      </c>
      <c r="G593" s="35" t="s">
        <v>1784</v>
      </c>
      <c r="H593" s="31" t="s">
        <v>1806</v>
      </c>
      <c r="J593" t="s">
        <v>77</v>
      </c>
      <c r="M593">
        <v>170</v>
      </c>
      <c r="P593" t="s">
        <v>78</v>
      </c>
      <c r="Q593" s="55">
        <v>159.09090909090907</v>
      </c>
      <c r="R593" s="32">
        <v>87.5</v>
      </c>
      <c r="S593" s="33">
        <v>0.33</v>
      </c>
      <c r="T593" s="34">
        <f t="shared" si="19"/>
        <v>130.59701492537314</v>
      </c>
      <c r="U593" s="34">
        <f t="shared" si="20"/>
        <v>132.2294776119403</v>
      </c>
      <c r="V593" t="s">
        <v>79</v>
      </c>
      <c r="W593" s="32">
        <v>15</v>
      </c>
      <c r="X593" s="32" t="s">
        <v>80</v>
      </c>
      <c r="AD593" s="1">
        <v>194917993767</v>
      </c>
      <c r="AN593">
        <v>30</v>
      </c>
      <c r="AO593" t="s">
        <v>81</v>
      </c>
    </row>
    <row r="594" spans="1:41" ht="120" x14ac:dyDescent="0.25">
      <c r="A594" s="2">
        <v>194917895030</v>
      </c>
      <c r="B594" t="s">
        <v>71</v>
      </c>
      <c r="C594" t="s">
        <v>72</v>
      </c>
      <c r="D594" t="s">
        <v>1807</v>
      </c>
      <c r="E594" t="s">
        <v>1808</v>
      </c>
      <c r="F594">
        <v>316210</v>
      </c>
      <c r="G594" s="35" t="s">
        <v>1784</v>
      </c>
      <c r="H594" s="31" t="s">
        <v>1809</v>
      </c>
      <c r="J594" t="s">
        <v>77</v>
      </c>
      <c r="M594">
        <v>170</v>
      </c>
      <c r="P594" t="s">
        <v>78</v>
      </c>
      <c r="Q594" s="55">
        <v>159.09090909090907</v>
      </c>
      <c r="R594" s="32">
        <v>87.5</v>
      </c>
      <c r="S594" s="33">
        <v>0.33</v>
      </c>
      <c r="T594" s="34">
        <f t="shared" si="19"/>
        <v>130.59701492537314</v>
      </c>
      <c r="U594" s="34">
        <f t="shared" si="20"/>
        <v>132.2294776119403</v>
      </c>
      <c r="V594" t="s">
        <v>79</v>
      </c>
      <c r="W594" s="32">
        <v>15</v>
      </c>
      <c r="X594" s="32" t="s">
        <v>80</v>
      </c>
      <c r="AD594" s="1">
        <v>194917895030</v>
      </c>
      <c r="AN594">
        <v>30</v>
      </c>
      <c r="AO594" t="s">
        <v>81</v>
      </c>
    </row>
    <row r="595" spans="1:41" ht="120" x14ac:dyDescent="0.25">
      <c r="A595" s="2">
        <v>194917993774</v>
      </c>
      <c r="B595" t="s">
        <v>71</v>
      </c>
      <c r="C595" t="s">
        <v>72</v>
      </c>
      <c r="D595" t="s">
        <v>1810</v>
      </c>
      <c r="E595" t="s">
        <v>1811</v>
      </c>
      <c r="F595">
        <v>316210</v>
      </c>
      <c r="G595" s="35" t="s">
        <v>1784</v>
      </c>
      <c r="H595" s="31" t="s">
        <v>1812</v>
      </c>
      <c r="J595" t="s">
        <v>77</v>
      </c>
      <c r="M595">
        <v>170</v>
      </c>
      <c r="P595" t="s">
        <v>78</v>
      </c>
      <c r="Q595" s="55">
        <v>159.09090909090907</v>
      </c>
      <c r="R595" s="32">
        <v>87.5</v>
      </c>
      <c r="S595" s="33">
        <v>0.33</v>
      </c>
      <c r="T595" s="34">
        <f t="shared" si="19"/>
        <v>130.59701492537314</v>
      </c>
      <c r="U595" s="34">
        <f t="shared" si="20"/>
        <v>132.2294776119403</v>
      </c>
      <c r="V595" t="s">
        <v>79</v>
      </c>
      <c r="W595" s="32">
        <v>15</v>
      </c>
      <c r="X595" s="32" t="s">
        <v>80</v>
      </c>
      <c r="AD595" s="1">
        <v>194917993774</v>
      </c>
      <c r="AN595">
        <v>30</v>
      </c>
      <c r="AO595" t="s">
        <v>81</v>
      </c>
    </row>
    <row r="596" spans="1:41" ht="120" x14ac:dyDescent="0.25">
      <c r="A596" s="2">
        <v>194917895047</v>
      </c>
      <c r="B596" t="s">
        <v>71</v>
      </c>
      <c r="C596" t="s">
        <v>72</v>
      </c>
      <c r="D596" t="s">
        <v>1813</v>
      </c>
      <c r="E596" t="s">
        <v>1814</v>
      </c>
      <c r="F596">
        <v>316210</v>
      </c>
      <c r="G596" s="35" t="s">
        <v>1784</v>
      </c>
      <c r="H596" s="31" t="s">
        <v>1815</v>
      </c>
      <c r="J596" t="s">
        <v>77</v>
      </c>
      <c r="M596">
        <v>170</v>
      </c>
      <c r="P596" t="s">
        <v>78</v>
      </c>
      <c r="Q596" s="55">
        <v>159.09090909090907</v>
      </c>
      <c r="R596" s="32">
        <v>87.5</v>
      </c>
      <c r="S596" s="33">
        <v>0.33</v>
      </c>
      <c r="T596" s="34">
        <f t="shared" si="19"/>
        <v>130.59701492537314</v>
      </c>
      <c r="U596" s="34">
        <f t="shared" si="20"/>
        <v>132.2294776119403</v>
      </c>
      <c r="V596" t="s">
        <v>79</v>
      </c>
      <c r="W596" s="32">
        <v>15</v>
      </c>
      <c r="X596" s="32" t="s">
        <v>80</v>
      </c>
      <c r="AD596" s="1">
        <v>194917895047</v>
      </c>
      <c r="AN596">
        <v>30</v>
      </c>
      <c r="AO596" t="s">
        <v>81</v>
      </c>
    </row>
    <row r="597" spans="1:41" ht="120" x14ac:dyDescent="0.25">
      <c r="A597" s="2">
        <v>194917993781</v>
      </c>
      <c r="B597" t="s">
        <v>71</v>
      </c>
      <c r="C597" t="s">
        <v>72</v>
      </c>
      <c r="D597" t="s">
        <v>1816</v>
      </c>
      <c r="E597" t="s">
        <v>1817</v>
      </c>
      <c r="F597">
        <v>316210</v>
      </c>
      <c r="G597" s="35" t="s">
        <v>1784</v>
      </c>
      <c r="H597" s="31" t="s">
        <v>1818</v>
      </c>
      <c r="J597" t="s">
        <v>77</v>
      </c>
      <c r="M597">
        <v>170</v>
      </c>
      <c r="P597" t="s">
        <v>78</v>
      </c>
      <c r="Q597" s="55">
        <v>159.09090909090907</v>
      </c>
      <c r="R597" s="32">
        <v>87.5</v>
      </c>
      <c r="S597" s="33">
        <v>0.33</v>
      </c>
      <c r="T597" s="34">
        <f t="shared" si="19"/>
        <v>130.59701492537314</v>
      </c>
      <c r="U597" s="34">
        <f t="shared" si="20"/>
        <v>132.2294776119403</v>
      </c>
      <c r="V597" t="s">
        <v>79</v>
      </c>
      <c r="W597" s="32">
        <v>15</v>
      </c>
      <c r="X597" s="32" t="s">
        <v>80</v>
      </c>
      <c r="AD597" s="1">
        <v>194917993781</v>
      </c>
      <c r="AN597">
        <v>30</v>
      </c>
      <c r="AO597" t="s">
        <v>81</v>
      </c>
    </row>
    <row r="598" spans="1:41" ht="120" x14ac:dyDescent="0.25">
      <c r="A598" s="2">
        <v>194917895054</v>
      </c>
      <c r="B598" t="s">
        <v>71</v>
      </c>
      <c r="C598" t="s">
        <v>72</v>
      </c>
      <c r="D598" t="s">
        <v>1819</v>
      </c>
      <c r="E598" t="s">
        <v>1820</v>
      </c>
      <c r="F598">
        <v>316210</v>
      </c>
      <c r="G598" s="35" t="s">
        <v>1784</v>
      </c>
      <c r="H598" s="31" t="s">
        <v>1821</v>
      </c>
      <c r="J598" t="s">
        <v>77</v>
      </c>
      <c r="M598">
        <v>170</v>
      </c>
      <c r="P598" t="s">
        <v>78</v>
      </c>
      <c r="Q598" s="55">
        <v>159.09090909090907</v>
      </c>
      <c r="R598" s="32">
        <v>87.5</v>
      </c>
      <c r="S598" s="33">
        <v>0.33</v>
      </c>
      <c r="T598" s="34">
        <f t="shared" si="19"/>
        <v>130.59701492537314</v>
      </c>
      <c r="U598" s="34">
        <f t="shared" si="20"/>
        <v>132.2294776119403</v>
      </c>
      <c r="V598" t="s">
        <v>79</v>
      </c>
      <c r="W598" s="32">
        <v>15</v>
      </c>
      <c r="X598" s="32" t="s">
        <v>80</v>
      </c>
      <c r="AD598" s="1">
        <v>194917895054</v>
      </c>
      <c r="AN598">
        <v>30</v>
      </c>
      <c r="AO598" t="s">
        <v>81</v>
      </c>
    </row>
    <row r="599" spans="1:41" ht="120" x14ac:dyDescent="0.25">
      <c r="A599" s="2">
        <v>194917993798</v>
      </c>
      <c r="B599" t="s">
        <v>71</v>
      </c>
      <c r="C599" t="s">
        <v>72</v>
      </c>
      <c r="D599" t="s">
        <v>1822</v>
      </c>
      <c r="E599" t="s">
        <v>1823</v>
      </c>
      <c r="F599">
        <v>316210</v>
      </c>
      <c r="G599" s="35" t="s">
        <v>1784</v>
      </c>
      <c r="H599" s="31" t="s">
        <v>1824</v>
      </c>
      <c r="J599" t="s">
        <v>77</v>
      </c>
      <c r="M599">
        <v>170</v>
      </c>
      <c r="P599" t="s">
        <v>78</v>
      </c>
      <c r="Q599" s="55">
        <v>159.09090909090907</v>
      </c>
      <c r="R599" s="32">
        <v>87.5</v>
      </c>
      <c r="S599" s="33">
        <v>0.33</v>
      </c>
      <c r="T599" s="34">
        <f t="shared" si="19"/>
        <v>130.59701492537314</v>
      </c>
      <c r="U599" s="34">
        <f t="shared" si="20"/>
        <v>132.2294776119403</v>
      </c>
      <c r="V599" t="s">
        <v>79</v>
      </c>
      <c r="W599" s="32">
        <v>15</v>
      </c>
      <c r="X599" s="32" t="s">
        <v>80</v>
      </c>
      <c r="AD599" s="1">
        <v>194917993798</v>
      </c>
      <c r="AN599">
        <v>30</v>
      </c>
      <c r="AO599" t="s">
        <v>81</v>
      </c>
    </row>
    <row r="600" spans="1:41" ht="120" x14ac:dyDescent="0.25">
      <c r="A600" s="2">
        <v>194917895061</v>
      </c>
      <c r="B600" t="s">
        <v>71</v>
      </c>
      <c r="C600" t="s">
        <v>72</v>
      </c>
      <c r="D600" t="s">
        <v>1825</v>
      </c>
      <c r="E600" t="s">
        <v>1826</v>
      </c>
      <c r="F600">
        <v>316210</v>
      </c>
      <c r="G600" s="35" t="s">
        <v>1784</v>
      </c>
      <c r="H600" s="31" t="s">
        <v>1827</v>
      </c>
      <c r="J600" t="s">
        <v>77</v>
      </c>
      <c r="M600">
        <v>170</v>
      </c>
      <c r="P600" t="s">
        <v>78</v>
      </c>
      <c r="Q600" s="55">
        <v>159.09090909090907</v>
      </c>
      <c r="R600" s="32">
        <v>87.5</v>
      </c>
      <c r="S600" s="33">
        <v>0.33</v>
      </c>
      <c r="T600" s="34">
        <f t="shared" si="19"/>
        <v>130.59701492537314</v>
      </c>
      <c r="U600" s="34">
        <f t="shared" si="20"/>
        <v>132.2294776119403</v>
      </c>
      <c r="V600" t="s">
        <v>79</v>
      </c>
      <c r="W600" s="32">
        <v>15</v>
      </c>
      <c r="X600" s="32" t="s">
        <v>80</v>
      </c>
      <c r="AD600" s="1">
        <v>194917895061</v>
      </c>
      <c r="AN600">
        <v>30</v>
      </c>
      <c r="AO600" t="s">
        <v>81</v>
      </c>
    </row>
    <row r="601" spans="1:41" ht="120" x14ac:dyDescent="0.25">
      <c r="A601" s="2">
        <v>194917993804</v>
      </c>
      <c r="B601" t="s">
        <v>71</v>
      </c>
      <c r="C601" t="s">
        <v>72</v>
      </c>
      <c r="D601" t="s">
        <v>1828</v>
      </c>
      <c r="E601" t="s">
        <v>1829</v>
      </c>
      <c r="F601">
        <v>316210</v>
      </c>
      <c r="G601" s="35" t="s">
        <v>1784</v>
      </c>
      <c r="H601" s="31" t="s">
        <v>1830</v>
      </c>
      <c r="J601" t="s">
        <v>77</v>
      </c>
      <c r="M601">
        <v>170</v>
      </c>
      <c r="P601" t="s">
        <v>78</v>
      </c>
      <c r="Q601" s="55">
        <v>159.09090909090907</v>
      </c>
      <c r="R601" s="32">
        <v>87.5</v>
      </c>
      <c r="S601" s="33">
        <v>0.33</v>
      </c>
      <c r="T601" s="34">
        <f t="shared" si="19"/>
        <v>130.59701492537314</v>
      </c>
      <c r="U601" s="34">
        <f t="shared" si="20"/>
        <v>132.2294776119403</v>
      </c>
      <c r="V601" t="s">
        <v>79</v>
      </c>
      <c r="W601" s="32">
        <v>15</v>
      </c>
      <c r="X601" s="32" t="s">
        <v>80</v>
      </c>
      <c r="AD601" s="1">
        <v>194917993804</v>
      </c>
      <c r="AN601">
        <v>30</v>
      </c>
      <c r="AO601" t="s">
        <v>81</v>
      </c>
    </row>
    <row r="602" spans="1:41" ht="120" x14ac:dyDescent="0.25">
      <c r="A602" s="2">
        <v>194917895078</v>
      </c>
      <c r="B602" t="s">
        <v>71</v>
      </c>
      <c r="C602" t="s">
        <v>72</v>
      </c>
      <c r="D602" t="s">
        <v>1831</v>
      </c>
      <c r="E602" t="s">
        <v>1832</v>
      </c>
      <c r="F602">
        <v>316210</v>
      </c>
      <c r="G602" s="35" t="s">
        <v>1784</v>
      </c>
      <c r="H602" s="31" t="s">
        <v>1833</v>
      </c>
      <c r="J602" t="s">
        <v>77</v>
      </c>
      <c r="M602">
        <v>170</v>
      </c>
      <c r="P602" t="s">
        <v>78</v>
      </c>
      <c r="Q602" s="55">
        <v>159.09090909090907</v>
      </c>
      <c r="R602" s="32">
        <v>87.5</v>
      </c>
      <c r="S602" s="33">
        <v>0.33</v>
      </c>
      <c r="T602" s="34">
        <f t="shared" si="19"/>
        <v>130.59701492537314</v>
      </c>
      <c r="U602" s="34">
        <f t="shared" si="20"/>
        <v>132.2294776119403</v>
      </c>
      <c r="V602" t="s">
        <v>79</v>
      </c>
      <c r="W602" s="32">
        <v>15</v>
      </c>
      <c r="X602" s="32" t="s">
        <v>80</v>
      </c>
      <c r="AD602" s="1">
        <v>194917895078</v>
      </c>
      <c r="AN602">
        <v>30</v>
      </c>
      <c r="AO602" t="s">
        <v>81</v>
      </c>
    </row>
    <row r="603" spans="1:41" ht="120" x14ac:dyDescent="0.25">
      <c r="A603" s="2">
        <v>194917993811</v>
      </c>
      <c r="B603" t="s">
        <v>71</v>
      </c>
      <c r="C603" t="s">
        <v>72</v>
      </c>
      <c r="D603" t="s">
        <v>1834</v>
      </c>
      <c r="E603" t="s">
        <v>1835</v>
      </c>
      <c r="F603">
        <v>316210</v>
      </c>
      <c r="G603" s="35" t="s">
        <v>1784</v>
      </c>
      <c r="H603" s="31" t="s">
        <v>1836</v>
      </c>
      <c r="J603" t="s">
        <v>77</v>
      </c>
      <c r="M603">
        <v>170</v>
      </c>
      <c r="P603" t="s">
        <v>78</v>
      </c>
      <c r="Q603" s="55">
        <v>159.09090909090907</v>
      </c>
      <c r="R603" s="32">
        <v>87.5</v>
      </c>
      <c r="S603" s="33">
        <v>0.33</v>
      </c>
      <c r="T603" s="34">
        <f t="shared" si="19"/>
        <v>130.59701492537314</v>
      </c>
      <c r="U603" s="34">
        <f t="shared" si="20"/>
        <v>132.2294776119403</v>
      </c>
      <c r="V603" t="s">
        <v>79</v>
      </c>
      <c r="W603" s="32">
        <v>15</v>
      </c>
      <c r="X603" s="32" t="s">
        <v>80</v>
      </c>
      <c r="AD603" s="1">
        <v>194917993811</v>
      </c>
      <c r="AN603">
        <v>30</v>
      </c>
      <c r="AO603" t="s">
        <v>81</v>
      </c>
    </row>
    <row r="604" spans="1:41" ht="120" x14ac:dyDescent="0.25">
      <c r="A604" s="2">
        <v>194917895085</v>
      </c>
      <c r="B604" t="s">
        <v>71</v>
      </c>
      <c r="C604" t="s">
        <v>72</v>
      </c>
      <c r="D604" t="s">
        <v>1837</v>
      </c>
      <c r="E604" t="s">
        <v>1838</v>
      </c>
      <c r="F604">
        <v>316210</v>
      </c>
      <c r="G604" s="35" t="s">
        <v>1784</v>
      </c>
      <c r="H604" s="31" t="s">
        <v>1839</v>
      </c>
      <c r="J604" t="s">
        <v>77</v>
      </c>
      <c r="M604">
        <v>170</v>
      </c>
      <c r="P604" t="s">
        <v>78</v>
      </c>
      <c r="Q604" s="55">
        <v>159.09090909090907</v>
      </c>
      <c r="R604" s="32">
        <v>87.5</v>
      </c>
      <c r="S604" s="33">
        <v>0.33</v>
      </c>
      <c r="T604" s="34">
        <f t="shared" si="19"/>
        <v>130.59701492537314</v>
      </c>
      <c r="U604" s="34">
        <f t="shared" si="20"/>
        <v>132.2294776119403</v>
      </c>
      <c r="V604" t="s">
        <v>79</v>
      </c>
      <c r="W604" s="32">
        <v>15</v>
      </c>
      <c r="X604" s="32" t="s">
        <v>80</v>
      </c>
      <c r="AD604" s="1">
        <v>194917895085</v>
      </c>
      <c r="AN604">
        <v>30</v>
      </c>
      <c r="AO604" t="s">
        <v>81</v>
      </c>
    </row>
    <row r="605" spans="1:41" ht="120" x14ac:dyDescent="0.25">
      <c r="A605" s="2">
        <v>194917993828</v>
      </c>
      <c r="B605" t="s">
        <v>71</v>
      </c>
      <c r="C605" t="s">
        <v>72</v>
      </c>
      <c r="D605" t="s">
        <v>1840</v>
      </c>
      <c r="E605" t="s">
        <v>1841</v>
      </c>
      <c r="F605">
        <v>316210</v>
      </c>
      <c r="G605" s="35" t="s">
        <v>1784</v>
      </c>
      <c r="H605" s="31" t="s">
        <v>1842</v>
      </c>
      <c r="J605" t="s">
        <v>77</v>
      </c>
      <c r="M605">
        <v>170</v>
      </c>
      <c r="P605" t="s">
        <v>78</v>
      </c>
      <c r="Q605" s="55">
        <v>159.09090909090907</v>
      </c>
      <c r="R605" s="32">
        <v>87.5</v>
      </c>
      <c r="S605" s="33">
        <v>0.33</v>
      </c>
      <c r="T605" s="34">
        <f t="shared" si="19"/>
        <v>130.59701492537314</v>
      </c>
      <c r="U605" s="34">
        <f t="shared" si="20"/>
        <v>132.2294776119403</v>
      </c>
      <c r="V605" t="s">
        <v>79</v>
      </c>
      <c r="W605" s="32">
        <v>15</v>
      </c>
      <c r="X605" s="32" t="s">
        <v>80</v>
      </c>
      <c r="AD605" s="1">
        <v>194917993828</v>
      </c>
      <c r="AN605">
        <v>30</v>
      </c>
      <c r="AO605" t="s">
        <v>81</v>
      </c>
    </row>
    <row r="606" spans="1:41" ht="120" x14ac:dyDescent="0.25">
      <c r="A606" s="2">
        <v>194917895092</v>
      </c>
      <c r="B606" t="s">
        <v>71</v>
      </c>
      <c r="C606" t="s">
        <v>72</v>
      </c>
      <c r="D606" t="s">
        <v>1843</v>
      </c>
      <c r="E606" t="s">
        <v>1844</v>
      </c>
      <c r="F606">
        <v>316210</v>
      </c>
      <c r="G606" s="35" t="s">
        <v>1784</v>
      </c>
      <c r="H606" s="31" t="s">
        <v>1845</v>
      </c>
      <c r="J606" t="s">
        <v>77</v>
      </c>
      <c r="M606">
        <v>170</v>
      </c>
      <c r="P606" t="s">
        <v>78</v>
      </c>
      <c r="Q606" s="55">
        <v>159.09090909090907</v>
      </c>
      <c r="R606" s="32">
        <v>87.5</v>
      </c>
      <c r="S606" s="33">
        <v>0.33</v>
      </c>
      <c r="T606" s="34">
        <f t="shared" si="19"/>
        <v>130.59701492537314</v>
      </c>
      <c r="U606" s="34">
        <f t="shared" si="20"/>
        <v>132.2294776119403</v>
      </c>
      <c r="V606" t="s">
        <v>79</v>
      </c>
      <c r="W606" s="32">
        <v>15</v>
      </c>
      <c r="X606" s="32" t="s">
        <v>80</v>
      </c>
      <c r="AD606" s="1">
        <v>194917895092</v>
      </c>
      <c r="AN606">
        <v>30</v>
      </c>
      <c r="AO606" t="s">
        <v>81</v>
      </c>
    </row>
    <row r="607" spans="1:41" ht="120" x14ac:dyDescent="0.25">
      <c r="A607" s="2">
        <v>194917993835</v>
      </c>
      <c r="B607" t="s">
        <v>71</v>
      </c>
      <c r="C607" t="s">
        <v>72</v>
      </c>
      <c r="D607" t="s">
        <v>1846</v>
      </c>
      <c r="E607" t="s">
        <v>1847</v>
      </c>
      <c r="F607">
        <v>316210</v>
      </c>
      <c r="G607" s="35" t="s">
        <v>1784</v>
      </c>
      <c r="H607" s="31" t="s">
        <v>1848</v>
      </c>
      <c r="J607" t="s">
        <v>77</v>
      </c>
      <c r="M607">
        <v>170</v>
      </c>
      <c r="P607" t="s">
        <v>78</v>
      </c>
      <c r="Q607" s="55">
        <v>159.09090909090907</v>
      </c>
      <c r="R607" s="32">
        <v>87.5</v>
      </c>
      <c r="S607" s="33">
        <v>0.33</v>
      </c>
      <c r="T607" s="34">
        <f t="shared" si="19"/>
        <v>130.59701492537314</v>
      </c>
      <c r="U607" s="34">
        <f t="shared" si="20"/>
        <v>132.2294776119403</v>
      </c>
      <c r="V607" t="s">
        <v>79</v>
      </c>
      <c r="W607" s="32">
        <v>15</v>
      </c>
      <c r="X607" s="32" t="s">
        <v>80</v>
      </c>
      <c r="AD607" s="1">
        <v>194917993835</v>
      </c>
      <c r="AN607">
        <v>30</v>
      </c>
      <c r="AO607" t="s">
        <v>81</v>
      </c>
    </row>
    <row r="608" spans="1:41" ht="120" x14ac:dyDescent="0.25">
      <c r="A608" s="2">
        <v>194917895108</v>
      </c>
      <c r="B608" t="s">
        <v>71</v>
      </c>
      <c r="C608" t="s">
        <v>72</v>
      </c>
      <c r="D608" t="s">
        <v>1849</v>
      </c>
      <c r="E608" t="s">
        <v>1850</v>
      </c>
      <c r="F608">
        <v>316210</v>
      </c>
      <c r="G608" s="35" t="s">
        <v>1784</v>
      </c>
      <c r="H608" s="31" t="s">
        <v>1851</v>
      </c>
      <c r="J608" t="s">
        <v>77</v>
      </c>
      <c r="M608">
        <v>170</v>
      </c>
      <c r="P608" t="s">
        <v>78</v>
      </c>
      <c r="Q608" s="55">
        <v>159.09090909090907</v>
      </c>
      <c r="R608" s="32">
        <v>87.5</v>
      </c>
      <c r="S608" s="33">
        <v>0.33</v>
      </c>
      <c r="T608" s="34">
        <f t="shared" si="19"/>
        <v>130.59701492537314</v>
      </c>
      <c r="U608" s="34">
        <f t="shared" si="20"/>
        <v>132.2294776119403</v>
      </c>
      <c r="V608" t="s">
        <v>79</v>
      </c>
      <c r="W608" s="32">
        <v>15</v>
      </c>
      <c r="X608" s="32" t="s">
        <v>80</v>
      </c>
      <c r="AD608" s="1">
        <v>194917895108</v>
      </c>
      <c r="AN608">
        <v>30</v>
      </c>
      <c r="AO608" t="s">
        <v>81</v>
      </c>
    </row>
    <row r="609" spans="1:41" ht="120" x14ac:dyDescent="0.25">
      <c r="A609" s="2">
        <v>194917993842</v>
      </c>
      <c r="B609" t="s">
        <v>71</v>
      </c>
      <c r="C609" t="s">
        <v>72</v>
      </c>
      <c r="D609" t="s">
        <v>1852</v>
      </c>
      <c r="E609" t="s">
        <v>1853</v>
      </c>
      <c r="F609">
        <v>316210</v>
      </c>
      <c r="G609" s="35" t="s">
        <v>1784</v>
      </c>
      <c r="H609" s="31" t="s">
        <v>1854</v>
      </c>
      <c r="J609" t="s">
        <v>77</v>
      </c>
      <c r="M609">
        <v>170</v>
      </c>
      <c r="P609" t="s">
        <v>78</v>
      </c>
      <c r="Q609" s="55">
        <v>159.09090909090907</v>
      </c>
      <c r="R609" s="32">
        <v>87.5</v>
      </c>
      <c r="S609" s="33">
        <v>0.33</v>
      </c>
      <c r="T609" s="34">
        <f t="shared" si="19"/>
        <v>130.59701492537314</v>
      </c>
      <c r="U609" s="34">
        <f t="shared" si="20"/>
        <v>132.2294776119403</v>
      </c>
      <c r="V609" t="s">
        <v>79</v>
      </c>
      <c r="W609" s="32">
        <v>15</v>
      </c>
      <c r="X609" s="32" t="s">
        <v>80</v>
      </c>
      <c r="AD609" s="1">
        <v>194917993842</v>
      </c>
      <c r="AN609">
        <v>30</v>
      </c>
      <c r="AO609" t="s">
        <v>81</v>
      </c>
    </row>
    <row r="610" spans="1:41" ht="120" x14ac:dyDescent="0.25">
      <c r="A610" s="2">
        <v>194917895115</v>
      </c>
      <c r="B610" t="s">
        <v>71</v>
      </c>
      <c r="C610" t="s">
        <v>72</v>
      </c>
      <c r="D610" t="s">
        <v>1855</v>
      </c>
      <c r="E610" t="s">
        <v>1856</v>
      </c>
      <c r="F610">
        <v>316210</v>
      </c>
      <c r="G610" s="35" t="s">
        <v>1784</v>
      </c>
      <c r="H610" s="31" t="s">
        <v>1857</v>
      </c>
      <c r="J610" t="s">
        <v>77</v>
      </c>
      <c r="M610">
        <v>170</v>
      </c>
      <c r="P610" t="s">
        <v>78</v>
      </c>
      <c r="Q610" s="55">
        <v>159.09090909090907</v>
      </c>
      <c r="R610" s="32">
        <v>87.5</v>
      </c>
      <c r="S610" s="33">
        <v>0.33</v>
      </c>
      <c r="T610" s="34">
        <f t="shared" si="19"/>
        <v>130.59701492537314</v>
      </c>
      <c r="U610" s="34">
        <f t="shared" si="20"/>
        <v>132.2294776119403</v>
      </c>
      <c r="V610" t="s">
        <v>79</v>
      </c>
      <c r="W610" s="32">
        <v>15</v>
      </c>
      <c r="X610" s="32" t="s">
        <v>80</v>
      </c>
      <c r="AD610" s="1">
        <v>194917895115</v>
      </c>
      <c r="AN610">
        <v>30</v>
      </c>
      <c r="AO610" t="s">
        <v>81</v>
      </c>
    </row>
    <row r="611" spans="1:41" ht="120" x14ac:dyDescent="0.25">
      <c r="A611" s="2">
        <v>194917993859</v>
      </c>
      <c r="B611" t="s">
        <v>71</v>
      </c>
      <c r="C611" t="s">
        <v>72</v>
      </c>
      <c r="D611" t="s">
        <v>1858</v>
      </c>
      <c r="E611" t="s">
        <v>1859</v>
      </c>
      <c r="F611">
        <v>316210</v>
      </c>
      <c r="G611" s="35" t="s">
        <v>1784</v>
      </c>
      <c r="H611" s="31" t="s">
        <v>1860</v>
      </c>
      <c r="J611" t="s">
        <v>77</v>
      </c>
      <c r="M611">
        <v>170</v>
      </c>
      <c r="P611" t="s">
        <v>78</v>
      </c>
      <c r="Q611" s="55">
        <v>159.09090909090907</v>
      </c>
      <c r="R611" s="32">
        <v>87.5</v>
      </c>
      <c r="S611" s="33">
        <v>0.33</v>
      </c>
      <c r="T611" s="34">
        <f t="shared" si="19"/>
        <v>130.59701492537314</v>
      </c>
      <c r="U611" s="34">
        <f t="shared" si="20"/>
        <v>132.2294776119403</v>
      </c>
      <c r="V611" t="s">
        <v>79</v>
      </c>
      <c r="W611" s="32">
        <v>15</v>
      </c>
      <c r="X611" s="32" t="s">
        <v>80</v>
      </c>
      <c r="AD611" s="1">
        <v>194917993859</v>
      </c>
      <c r="AN611">
        <v>30</v>
      </c>
      <c r="AO611" t="s">
        <v>81</v>
      </c>
    </row>
    <row r="612" spans="1:41" ht="120" x14ac:dyDescent="0.25">
      <c r="A612" s="2">
        <v>194917895122</v>
      </c>
      <c r="B612" t="s">
        <v>71</v>
      </c>
      <c r="C612" t="s">
        <v>72</v>
      </c>
      <c r="D612" t="s">
        <v>1861</v>
      </c>
      <c r="E612" t="s">
        <v>1862</v>
      </c>
      <c r="F612">
        <v>316210</v>
      </c>
      <c r="G612" s="35" t="s">
        <v>1784</v>
      </c>
      <c r="H612" s="31" t="s">
        <v>1863</v>
      </c>
      <c r="J612" t="s">
        <v>77</v>
      </c>
      <c r="M612">
        <v>170</v>
      </c>
      <c r="P612" t="s">
        <v>78</v>
      </c>
      <c r="Q612" s="55">
        <v>159.09090909090907</v>
      </c>
      <c r="R612" s="32">
        <v>87.5</v>
      </c>
      <c r="S612" s="33">
        <v>0.33</v>
      </c>
      <c r="T612" s="34">
        <f t="shared" si="19"/>
        <v>130.59701492537314</v>
      </c>
      <c r="U612" s="34">
        <f t="shared" si="20"/>
        <v>132.2294776119403</v>
      </c>
      <c r="V612" t="s">
        <v>79</v>
      </c>
      <c r="W612" s="32">
        <v>15</v>
      </c>
      <c r="X612" s="32" t="s">
        <v>80</v>
      </c>
      <c r="AD612" s="1">
        <v>194917895122</v>
      </c>
      <c r="AN612">
        <v>30</v>
      </c>
      <c r="AO612" t="s">
        <v>81</v>
      </c>
    </row>
    <row r="613" spans="1:41" ht="120" x14ac:dyDescent="0.25">
      <c r="A613" s="2">
        <v>194917993866</v>
      </c>
      <c r="B613" t="s">
        <v>71</v>
      </c>
      <c r="C613" t="s">
        <v>72</v>
      </c>
      <c r="D613" t="s">
        <v>1864</v>
      </c>
      <c r="E613" t="s">
        <v>1865</v>
      </c>
      <c r="F613">
        <v>316210</v>
      </c>
      <c r="G613" s="35" t="s">
        <v>1784</v>
      </c>
      <c r="H613" s="31" t="s">
        <v>1866</v>
      </c>
      <c r="J613" t="s">
        <v>77</v>
      </c>
      <c r="M613">
        <v>170</v>
      </c>
      <c r="P613" t="s">
        <v>78</v>
      </c>
      <c r="Q613" s="55">
        <v>159.09090909090907</v>
      </c>
      <c r="R613" s="32">
        <v>87.5</v>
      </c>
      <c r="S613" s="33">
        <v>0.33</v>
      </c>
      <c r="T613" s="34">
        <f t="shared" si="19"/>
        <v>130.59701492537314</v>
      </c>
      <c r="U613" s="34">
        <f t="shared" si="20"/>
        <v>132.2294776119403</v>
      </c>
      <c r="V613" t="s">
        <v>79</v>
      </c>
      <c r="W613" s="32">
        <v>15</v>
      </c>
      <c r="X613" s="32" t="s">
        <v>80</v>
      </c>
      <c r="AD613" s="1">
        <v>194917993866</v>
      </c>
      <c r="AN613">
        <v>30</v>
      </c>
      <c r="AO613" t="s">
        <v>81</v>
      </c>
    </row>
    <row r="614" spans="1:41" ht="90" x14ac:dyDescent="0.25">
      <c r="A614" s="2">
        <v>194917855027</v>
      </c>
      <c r="B614" t="s">
        <v>71</v>
      </c>
      <c r="C614" t="s">
        <v>72</v>
      </c>
      <c r="D614" t="s">
        <v>1867</v>
      </c>
      <c r="E614" t="s">
        <v>1868</v>
      </c>
      <c r="F614">
        <v>316210</v>
      </c>
      <c r="G614" s="35" t="s">
        <v>1869</v>
      </c>
      <c r="H614" s="31" t="s">
        <v>1870</v>
      </c>
      <c r="J614" t="s">
        <v>77</v>
      </c>
      <c r="M614">
        <v>125</v>
      </c>
      <c r="P614" t="s">
        <v>78</v>
      </c>
      <c r="Q614" s="55">
        <v>119.09090909090908</v>
      </c>
      <c r="R614" s="32">
        <v>65.5</v>
      </c>
      <c r="S614" s="33">
        <v>0.33</v>
      </c>
      <c r="T614" s="34">
        <f t="shared" si="19"/>
        <v>97.761194029850756</v>
      </c>
      <c r="U614" s="34">
        <f t="shared" si="20"/>
        <v>98.983208955223887</v>
      </c>
      <c r="V614" t="s">
        <v>79</v>
      </c>
      <c r="W614" s="32">
        <v>15</v>
      </c>
      <c r="X614" s="32" t="s">
        <v>80</v>
      </c>
      <c r="AD614" s="1">
        <v>194917855027</v>
      </c>
      <c r="AN614">
        <v>30</v>
      </c>
      <c r="AO614" t="s">
        <v>81</v>
      </c>
    </row>
    <row r="615" spans="1:41" ht="90" x14ac:dyDescent="0.25">
      <c r="A615" s="2">
        <v>194917855034</v>
      </c>
      <c r="B615" t="s">
        <v>71</v>
      </c>
      <c r="C615" t="s">
        <v>72</v>
      </c>
      <c r="D615" t="s">
        <v>1871</v>
      </c>
      <c r="E615" t="s">
        <v>1872</v>
      </c>
      <c r="F615">
        <v>316210</v>
      </c>
      <c r="G615" s="35" t="s">
        <v>1869</v>
      </c>
      <c r="H615" s="31" t="s">
        <v>1873</v>
      </c>
      <c r="J615" t="s">
        <v>77</v>
      </c>
      <c r="M615">
        <v>125</v>
      </c>
      <c r="P615" t="s">
        <v>78</v>
      </c>
      <c r="Q615" s="55">
        <v>119.09090909090908</v>
      </c>
      <c r="R615" s="32">
        <v>65.5</v>
      </c>
      <c r="S615" s="33">
        <v>0.33</v>
      </c>
      <c r="T615" s="34">
        <f t="shared" si="19"/>
        <v>97.761194029850756</v>
      </c>
      <c r="U615" s="34">
        <f t="shared" si="20"/>
        <v>98.983208955223887</v>
      </c>
      <c r="V615" t="s">
        <v>79</v>
      </c>
      <c r="W615" s="32">
        <v>15</v>
      </c>
      <c r="X615" s="32" t="s">
        <v>80</v>
      </c>
      <c r="AD615" s="1">
        <v>194917855034</v>
      </c>
      <c r="AN615">
        <v>30</v>
      </c>
      <c r="AO615" t="s">
        <v>81</v>
      </c>
    </row>
    <row r="616" spans="1:41" ht="90" x14ac:dyDescent="0.25">
      <c r="A616" s="2">
        <v>194917855041</v>
      </c>
      <c r="B616" t="s">
        <v>71</v>
      </c>
      <c r="C616" t="s">
        <v>72</v>
      </c>
      <c r="D616" t="s">
        <v>1874</v>
      </c>
      <c r="E616" t="s">
        <v>1875</v>
      </c>
      <c r="F616">
        <v>316210</v>
      </c>
      <c r="G616" s="35" t="s">
        <v>1869</v>
      </c>
      <c r="H616" s="31" t="s">
        <v>1876</v>
      </c>
      <c r="J616" t="s">
        <v>77</v>
      </c>
      <c r="M616">
        <v>125</v>
      </c>
      <c r="P616" t="s">
        <v>78</v>
      </c>
      <c r="Q616" s="55">
        <v>119.09090909090908</v>
      </c>
      <c r="R616" s="32">
        <v>65.5</v>
      </c>
      <c r="S616" s="33">
        <v>0.33</v>
      </c>
      <c r="T616" s="34">
        <f t="shared" si="19"/>
        <v>97.761194029850756</v>
      </c>
      <c r="U616" s="34">
        <f t="shared" si="20"/>
        <v>98.983208955223887</v>
      </c>
      <c r="V616" t="s">
        <v>79</v>
      </c>
      <c r="W616" s="32">
        <v>15</v>
      </c>
      <c r="X616" s="32" t="s">
        <v>80</v>
      </c>
      <c r="AD616" s="1">
        <v>194917855041</v>
      </c>
      <c r="AN616">
        <v>30</v>
      </c>
      <c r="AO616" t="s">
        <v>81</v>
      </c>
    </row>
    <row r="617" spans="1:41" ht="90" x14ac:dyDescent="0.25">
      <c r="A617" s="2">
        <v>194917855058</v>
      </c>
      <c r="B617" t="s">
        <v>71</v>
      </c>
      <c r="C617" t="s">
        <v>72</v>
      </c>
      <c r="D617" t="s">
        <v>1877</v>
      </c>
      <c r="E617" t="s">
        <v>1878</v>
      </c>
      <c r="F617">
        <v>316210</v>
      </c>
      <c r="G617" s="35" t="s">
        <v>1869</v>
      </c>
      <c r="H617" s="31" t="s">
        <v>1879</v>
      </c>
      <c r="J617" t="s">
        <v>77</v>
      </c>
      <c r="M617">
        <v>125</v>
      </c>
      <c r="P617" t="s">
        <v>78</v>
      </c>
      <c r="Q617" s="55">
        <v>119.09090909090908</v>
      </c>
      <c r="R617" s="32">
        <v>65.5</v>
      </c>
      <c r="S617" s="33">
        <v>0.33</v>
      </c>
      <c r="T617" s="34">
        <f t="shared" si="19"/>
        <v>97.761194029850756</v>
      </c>
      <c r="U617" s="34">
        <f t="shared" si="20"/>
        <v>98.983208955223887</v>
      </c>
      <c r="V617" t="s">
        <v>79</v>
      </c>
      <c r="W617" s="32">
        <v>15</v>
      </c>
      <c r="X617" s="32" t="s">
        <v>80</v>
      </c>
      <c r="AD617" s="1">
        <v>194917855058</v>
      </c>
      <c r="AN617">
        <v>30</v>
      </c>
      <c r="AO617" t="s">
        <v>81</v>
      </c>
    </row>
    <row r="618" spans="1:41" ht="90" x14ac:dyDescent="0.25">
      <c r="A618" s="2">
        <v>194917855065</v>
      </c>
      <c r="B618" t="s">
        <v>71</v>
      </c>
      <c r="C618" t="s">
        <v>72</v>
      </c>
      <c r="D618" t="s">
        <v>1880</v>
      </c>
      <c r="E618" t="s">
        <v>1881</v>
      </c>
      <c r="F618">
        <v>316210</v>
      </c>
      <c r="G618" s="35" t="s">
        <v>1869</v>
      </c>
      <c r="H618" s="31" t="s">
        <v>1882</v>
      </c>
      <c r="J618" t="s">
        <v>77</v>
      </c>
      <c r="M618">
        <v>125</v>
      </c>
      <c r="P618" t="s">
        <v>78</v>
      </c>
      <c r="Q618" s="55">
        <v>119.09090909090908</v>
      </c>
      <c r="R618" s="32">
        <v>65.5</v>
      </c>
      <c r="S618" s="33">
        <v>0.33</v>
      </c>
      <c r="T618" s="34">
        <f t="shared" si="19"/>
        <v>97.761194029850756</v>
      </c>
      <c r="U618" s="34">
        <f t="shared" si="20"/>
        <v>98.983208955223887</v>
      </c>
      <c r="V618" t="s">
        <v>79</v>
      </c>
      <c r="W618" s="32">
        <v>15</v>
      </c>
      <c r="X618" s="32" t="s">
        <v>80</v>
      </c>
      <c r="AD618" s="1">
        <v>194917855065</v>
      </c>
      <c r="AN618">
        <v>30</v>
      </c>
      <c r="AO618" t="s">
        <v>81</v>
      </c>
    </row>
    <row r="619" spans="1:41" ht="90" x14ac:dyDescent="0.25">
      <c r="A619" s="2">
        <v>194917855072</v>
      </c>
      <c r="B619" t="s">
        <v>71</v>
      </c>
      <c r="C619" t="s">
        <v>72</v>
      </c>
      <c r="D619" t="s">
        <v>1883</v>
      </c>
      <c r="E619" t="s">
        <v>1884</v>
      </c>
      <c r="F619">
        <v>316210</v>
      </c>
      <c r="G619" s="35" t="s">
        <v>1869</v>
      </c>
      <c r="H619" s="31" t="s">
        <v>1885</v>
      </c>
      <c r="J619" t="s">
        <v>77</v>
      </c>
      <c r="M619">
        <v>125</v>
      </c>
      <c r="P619" t="s">
        <v>78</v>
      </c>
      <c r="Q619" s="55">
        <v>119.09090909090908</v>
      </c>
      <c r="R619" s="32">
        <v>65.5</v>
      </c>
      <c r="S619" s="33">
        <v>0.33</v>
      </c>
      <c r="T619" s="34">
        <f t="shared" si="19"/>
        <v>97.761194029850756</v>
      </c>
      <c r="U619" s="34">
        <f t="shared" si="20"/>
        <v>98.983208955223887</v>
      </c>
      <c r="V619" t="s">
        <v>79</v>
      </c>
      <c r="W619" s="32">
        <v>15</v>
      </c>
      <c r="X619" s="32" t="s">
        <v>80</v>
      </c>
      <c r="AD619" s="1">
        <v>194917855072</v>
      </c>
      <c r="AN619">
        <v>30</v>
      </c>
      <c r="AO619" t="s">
        <v>81</v>
      </c>
    </row>
    <row r="620" spans="1:41" ht="90" x14ac:dyDescent="0.25">
      <c r="A620" s="2">
        <v>194917855089</v>
      </c>
      <c r="B620" t="s">
        <v>71</v>
      </c>
      <c r="C620" t="s">
        <v>72</v>
      </c>
      <c r="D620" t="s">
        <v>1886</v>
      </c>
      <c r="E620" t="s">
        <v>1887</v>
      </c>
      <c r="F620">
        <v>316210</v>
      </c>
      <c r="G620" s="35" t="s">
        <v>1869</v>
      </c>
      <c r="H620" s="31" t="s">
        <v>1888</v>
      </c>
      <c r="J620" t="s">
        <v>77</v>
      </c>
      <c r="M620">
        <v>125</v>
      </c>
      <c r="P620" t="s">
        <v>78</v>
      </c>
      <c r="Q620" s="55">
        <v>119.09090909090908</v>
      </c>
      <c r="R620" s="32">
        <v>65.5</v>
      </c>
      <c r="S620" s="33">
        <v>0.33</v>
      </c>
      <c r="T620" s="34">
        <f t="shared" si="19"/>
        <v>97.761194029850756</v>
      </c>
      <c r="U620" s="34">
        <f t="shared" si="20"/>
        <v>98.983208955223887</v>
      </c>
      <c r="V620" t="s">
        <v>79</v>
      </c>
      <c r="W620" s="32">
        <v>15</v>
      </c>
      <c r="X620" s="32" t="s">
        <v>80</v>
      </c>
      <c r="AD620" s="1">
        <v>194917855089</v>
      </c>
      <c r="AN620">
        <v>30</v>
      </c>
      <c r="AO620" t="s">
        <v>81</v>
      </c>
    </row>
    <row r="621" spans="1:41" ht="90" x14ac:dyDescent="0.25">
      <c r="A621" s="2">
        <v>194917855096</v>
      </c>
      <c r="B621" t="s">
        <v>71</v>
      </c>
      <c r="C621" t="s">
        <v>72</v>
      </c>
      <c r="D621" t="s">
        <v>1889</v>
      </c>
      <c r="E621" t="s">
        <v>1890</v>
      </c>
      <c r="F621">
        <v>316210</v>
      </c>
      <c r="G621" s="35" t="s">
        <v>1869</v>
      </c>
      <c r="H621" s="31" t="s">
        <v>1891</v>
      </c>
      <c r="J621" t="s">
        <v>77</v>
      </c>
      <c r="M621">
        <v>125</v>
      </c>
      <c r="P621" t="s">
        <v>78</v>
      </c>
      <c r="Q621" s="55">
        <v>119.09090909090908</v>
      </c>
      <c r="R621" s="32">
        <v>65.5</v>
      </c>
      <c r="S621" s="33">
        <v>0.33</v>
      </c>
      <c r="T621" s="34">
        <f t="shared" si="19"/>
        <v>97.761194029850756</v>
      </c>
      <c r="U621" s="34">
        <f t="shared" si="20"/>
        <v>98.983208955223887</v>
      </c>
      <c r="V621" t="s">
        <v>79</v>
      </c>
      <c r="W621" s="32">
        <v>15</v>
      </c>
      <c r="X621" s="32" t="s">
        <v>80</v>
      </c>
      <c r="AD621" s="1">
        <v>194917855096</v>
      </c>
      <c r="AN621">
        <v>30</v>
      </c>
      <c r="AO621" t="s">
        <v>81</v>
      </c>
    </row>
    <row r="622" spans="1:41" ht="90" x14ac:dyDescent="0.25">
      <c r="A622" s="2">
        <v>194917855102</v>
      </c>
      <c r="B622" t="s">
        <v>71</v>
      </c>
      <c r="C622" t="s">
        <v>72</v>
      </c>
      <c r="D622" t="s">
        <v>1892</v>
      </c>
      <c r="E622" t="s">
        <v>1893</v>
      </c>
      <c r="F622">
        <v>316210</v>
      </c>
      <c r="G622" s="35" t="s">
        <v>1869</v>
      </c>
      <c r="H622" s="31" t="s">
        <v>1894</v>
      </c>
      <c r="J622" t="s">
        <v>77</v>
      </c>
      <c r="M622">
        <v>125</v>
      </c>
      <c r="P622" t="s">
        <v>78</v>
      </c>
      <c r="Q622" s="55">
        <v>119.09090909090908</v>
      </c>
      <c r="R622" s="32">
        <v>65.5</v>
      </c>
      <c r="S622" s="33">
        <v>0.33</v>
      </c>
      <c r="T622" s="34">
        <f t="shared" si="19"/>
        <v>97.761194029850756</v>
      </c>
      <c r="U622" s="34">
        <f t="shared" si="20"/>
        <v>98.983208955223887</v>
      </c>
      <c r="V622" t="s">
        <v>79</v>
      </c>
      <c r="W622" s="32">
        <v>15</v>
      </c>
      <c r="X622" s="32" t="s">
        <v>80</v>
      </c>
      <c r="AD622" s="1">
        <v>194917855102</v>
      </c>
      <c r="AN622">
        <v>30</v>
      </c>
      <c r="AO622" t="s">
        <v>81</v>
      </c>
    </row>
    <row r="623" spans="1:41" ht="90" x14ac:dyDescent="0.25">
      <c r="A623" s="2">
        <v>194917855119</v>
      </c>
      <c r="B623" t="s">
        <v>71</v>
      </c>
      <c r="C623" t="s">
        <v>72</v>
      </c>
      <c r="D623" t="s">
        <v>1895</v>
      </c>
      <c r="E623" t="s">
        <v>1896</v>
      </c>
      <c r="F623">
        <v>316210</v>
      </c>
      <c r="G623" s="35" t="s">
        <v>1869</v>
      </c>
      <c r="H623" s="31" t="s">
        <v>1897</v>
      </c>
      <c r="J623" t="s">
        <v>77</v>
      </c>
      <c r="M623">
        <v>125</v>
      </c>
      <c r="P623" t="s">
        <v>78</v>
      </c>
      <c r="Q623" s="55">
        <v>119.09090909090908</v>
      </c>
      <c r="R623" s="32">
        <v>65.5</v>
      </c>
      <c r="S623" s="33">
        <v>0.33</v>
      </c>
      <c r="T623" s="34">
        <f t="shared" si="19"/>
        <v>97.761194029850756</v>
      </c>
      <c r="U623" s="34">
        <f t="shared" si="20"/>
        <v>98.983208955223887</v>
      </c>
      <c r="V623" t="s">
        <v>79</v>
      </c>
      <c r="W623" s="32">
        <v>15</v>
      </c>
      <c r="X623" s="32" t="s">
        <v>80</v>
      </c>
      <c r="AD623" s="1">
        <v>194917855119</v>
      </c>
      <c r="AN623">
        <v>30</v>
      </c>
      <c r="AO623" t="s">
        <v>81</v>
      </c>
    </row>
    <row r="624" spans="1:41" ht="90" x14ac:dyDescent="0.25">
      <c r="A624" s="2">
        <v>194917855126</v>
      </c>
      <c r="B624" t="s">
        <v>71</v>
      </c>
      <c r="C624" t="s">
        <v>72</v>
      </c>
      <c r="D624" t="s">
        <v>1898</v>
      </c>
      <c r="E624" t="s">
        <v>1899</v>
      </c>
      <c r="F624">
        <v>316210</v>
      </c>
      <c r="G624" s="35" t="s">
        <v>1869</v>
      </c>
      <c r="H624" s="31" t="s">
        <v>1900</v>
      </c>
      <c r="J624" t="s">
        <v>77</v>
      </c>
      <c r="M624">
        <v>125</v>
      </c>
      <c r="P624" t="s">
        <v>78</v>
      </c>
      <c r="Q624" s="55">
        <v>119.09090909090908</v>
      </c>
      <c r="R624" s="32">
        <v>65.5</v>
      </c>
      <c r="S624" s="33">
        <v>0.33</v>
      </c>
      <c r="T624" s="34">
        <f t="shared" si="19"/>
        <v>97.761194029850756</v>
      </c>
      <c r="U624" s="34">
        <f t="shared" si="20"/>
        <v>98.983208955223887</v>
      </c>
      <c r="V624" t="s">
        <v>79</v>
      </c>
      <c r="W624" s="32">
        <v>15</v>
      </c>
      <c r="X624" s="32" t="s">
        <v>80</v>
      </c>
      <c r="AD624" s="1">
        <v>194917855126</v>
      </c>
      <c r="AN624">
        <v>30</v>
      </c>
      <c r="AO624" t="s">
        <v>81</v>
      </c>
    </row>
    <row r="625" spans="1:41" ht="90" x14ac:dyDescent="0.25">
      <c r="A625" s="2">
        <v>194917855133</v>
      </c>
      <c r="B625" t="s">
        <v>71</v>
      </c>
      <c r="C625" t="s">
        <v>72</v>
      </c>
      <c r="D625" t="s">
        <v>1901</v>
      </c>
      <c r="E625" t="s">
        <v>1902</v>
      </c>
      <c r="F625">
        <v>316210</v>
      </c>
      <c r="G625" s="35" t="s">
        <v>1869</v>
      </c>
      <c r="H625" s="31" t="s">
        <v>1903</v>
      </c>
      <c r="J625" t="s">
        <v>77</v>
      </c>
      <c r="M625">
        <v>125</v>
      </c>
      <c r="P625" t="s">
        <v>78</v>
      </c>
      <c r="Q625" s="55">
        <v>119.09090909090908</v>
      </c>
      <c r="R625" s="32">
        <v>65.5</v>
      </c>
      <c r="S625" s="33">
        <v>0.33</v>
      </c>
      <c r="T625" s="34">
        <f t="shared" si="19"/>
        <v>97.761194029850756</v>
      </c>
      <c r="U625" s="34">
        <f t="shared" si="20"/>
        <v>98.983208955223887</v>
      </c>
      <c r="V625" t="s">
        <v>79</v>
      </c>
      <c r="W625" s="32">
        <v>15</v>
      </c>
      <c r="X625" s="32" t="s">
        <v>80</v>
      </c>
      <c r="AD625" s="1">
        <v>194917855133</v>
      </c>
      <c r="AN625">
        <v>30</v>
      </c>
      <c r="AO625" t="s">
        <v>81</v>
      </c>
    </row>
    <row r="626" spans="1:41" ht="90" x14ac:dyDescent="0.25">
      <c r="A626" s="2">
        <v>194917855140</v>
      </c>
      <c r="B626" t="s">
        <v>71</v>
      </c>
      <c r="C626" t="s">
        <v>72</v>
      </c>
      <c r="D626" t="s">
        <v>1904</v>
      </c>
      <c r="E626" t="s">
        <v>1905</v>
      </c>
      <c r="F626">
        <v>316210</v>
      </c>
      <c r="G626" s="35" t="s">
        <v>1869</v>
      </c>
      <c r="H626" s="31" t="s">
        <v>1906</v>
      </c>
      <c r="J626" t="s">
        <v>77</v>
      </c>
      <c r="M626">
        <v>145</v>
      </c>
      <c r="P626" t="s">
        <v>78</v>
      </c>
      <c r="Q626" s="55">
        <v>139.09090909090909</v>
      </c>
      <c r="R626" s="32">
        <v>76.5</v>
      </c>
      <c r="S626" s="33">
        <v>0.33</v>
      </c>
      <c r="T626" s="34">
        <f t="shared" si="19"/>
        <v>114.17910447761196</v>
      </c>
      <c r="U626" s="34">
        <f t="shared" si="20"/>
        <v>115.60634328358211</v>
      </c>
      <c r="V626" t="s">
        <v>79</v>
      </c>
      <c r="W626" s="32">
        <v>15</v>
      </c>
      <c r="X626" s="32" t="s">
        <v>80</v>
      </c>
      <c r="AD626" s="1">
        <v>194917855140</v>
      </c>
      <c r="AN626">
        <v>30</v>
      </c>
      <c r="AO626" t="s">
        <v>81</v>
      </c>
    </row>
    <row r="627" spans="1:41" ht="90" x14ac:dyDescent="0.25">
      <c r="A627" s="2">
        <v>194917855157</v>
      </c>
      <c r="B627" t="s">
        <v>71</v>
      </c>
      <c r="C627" t="s">
        <v>72</v>
      </c>
      <c r="D627" t="s">
        <v>1907</v>
      </c>
      <c r="E627" t="s">
        <v>1908</v>
      </c>
      <c r="F627">
        <v>316210</v>
      </c>
      <c r="G627" s="35" t="s">
        <v>1869</v>
      </c>
      <c r="H627" s="31" t="s">
        <v>1909</v>
      </c>
      <c r="J627" t="s">
        <v>77</v>
      </c>
      <c r="M627">
        <v>145</v>
      </c>
      <c r="P627" t="s">
        <v>78</v>
      </c>
      <c r="Q627" s="55">
        <v>139.09090909090909</v>
      </c>
      <c r="R627" s="32">
        <v>76.5</v>
      </c>
      <c r="S627" s="33">
        <v>0.33</v>
      </c>
      <c r="T627" s="34">
        <f t="shared" si="19"/>
        <v>114.17910447761196</v>
      </c>
      <c r="U627" s="34">
        <f t="shared" si="20"/>
        <v>115.60634328358211</v>
      </c>
      <c r="V627" t="s">
        <v>79</v>
      </c>
      <c r="W627" s="32">
        <v>15</v>
      </c>
      <c r="X627" s="32" t="s">
        <v>80</v>
      </c>
      <c r="AD627" s="1">
        <v>194917855157</v>
      </c>
      <c r="AN627">
        <v>30</v>
      </c>
      <c r="AO627" t="s">
        <v>81</v>
      </c>
    </row>
    <row r="628" spans="1:41" ht="90" x14ac:dyDescent="0.25">
      <c r="A628" s="2">
        <v>194917855164</v>
      </c>
      <c r="B628" t="s">
        <v>71</v>
      </c>
      <c r="C628" t="s">
        <v>72</v>
      </c>
      <c r="D628" t="s">
        <v>1910</v>
      </c>
      <c r="E628" t="s">
        <v>1911</v>
      </c>
      <c r="F628">
        <v>316210</v>
      </c>
      <c r="G628" s="35" t="s">
        <v>1869</v>
      </c>
      <c r="H628" s="31" t="s">
        <v>1912</v>
      </c>
      <c r="J628" t="s">
        <v>77</v>
      </c>
      <c r="M628">
        <v>145</v>
      </c>
      <c r="P628" t="s">
        <v>78</v>
      </c>
      <c r="Q628" s="55">
        <v>139.09090909090909</v>
      </c>
      <c r="R628" s="32">
        <v>76.5</v>
      </c>
      <c r="S628" s="33">
        <v>0.33</v>
      </c>
      <c r="T628" s="34">
        <f t="shared" si="19"/>
        <v>114.17910447761196</v>
      </c>
      <c r="U628" s="34">
        <f t="shared" si="20"/>
        <v>115.60634328358211</v>
      </c>
      <c r="V628" t="s">
        <v>79</v>
      </c>
      <c r="W628" s="32">
        <v>15</v>
      </c>
      <c r="X628" s="32" t="s">
        <v>80</v>
      </c>
      <c r="AD628" s="1">
        <v>194917855164</v>
      </c>
      <c r="AN628">
        <v>30</v>
      </c>
      <c r="AO628" t="s">
        <v>81</v>
      </c>
    </row>
    <row r="629" spans="1:41" ht="90" x14ac:dyDescent="0.25">
      <c r="A629" s="2">
        <v>194917855171</v>
      </c>
      <c r="B629" t="s">
        <v>71</v>
      </c>
      <c r="C629" t="s">
        <v>72</v>
      </c>
      <c r="D629" t="s">
        <v>1913</v>
      </c>
      <c r="E629" t="s">
        <v>1914</v>
      </c>
      <c r="F629">
        <v>316210</v>
      </c>
      <c r="G629" s="35" t="s">
        <v>1869</v>
      </c>
      <c r="H629" s="31" t="s">
        <v>1915</v>
      </c>
      <c r="J629" t="s">
        <v>77</v>
      </c>
      <c r="M629">
        <v>145</v>
      </c>
      <c r="P629" t="s">
        <v>78</v>
      </c>
      <c r="Q629" s="55">
        <v>139.09090909090909</v>
      </c>
      <c r="R629" s="32">
        <v>76.5</v>
      </c>
      <c r="S629" s="33">
        <v>0.33</v>
      </c>
      <c r="T629" s="34">
        <f t="shared" si="19"/>
        <v>114.17910447761196</v>
      </c>
      <c r="U629" s="34">
        <f t="shared" si="20"/>
        <v>115.60634328358211</v>
      </c>
      <c r="V629" t="s">
        <v>79</v>
      </c>
      <c r="W629" s="32">
        <v>15</v>
      </c>
      <c r="X629" s="32" t="s">
        <v>80</v>
      </c>
      <c r="AD629" s="1">
        <v>194917855171</v>
      </c>
      <c r="AN629">
        <v>30</v>
      </c>
      <c r="AO629" t="s">
        <v>81</v>
      </c>
    </row>
    <row r="630" spans="1:41" ht="90" x14ac:dyDescent="0.25">
      <c r="A630" s="2">
        <v>194917855188</v>
      </c>
      <c r="B630" t="s">
        <v>71</v>
      </c>
      <c r="C630" t="s">
        <v>72</v>
      </c>
      <c r="D630" t="s">
        <v>1916</v>
      </c>
      <c r="E630" t="s">
        <v>1917</v>
      </c>
      <c r="F630">
        <v>316210</v>
      </c>
      <c r="G630" s="35" t="s">
        <v>1869</v>
      </c>
      <c r="H630" s="31" t="s">
        <v>1918</v>
      </c>
      <c r="J630" t="s">
        <v>77</v>
      </c>
      <c r="M630">
        <v>145</v>
      </c>
      <c r="P630" t="s">
        <v>78</v>
      </c>
      <c r="Q630" s="55">
        <v>139.09090909090909</v>
      </c>
      <c r="R630" s="32">
        <v>76.5</v>
      </c>
      <c r="S630" s="33">
        <v>0.33</v>
      </c>
      <c r="T630" s="34">
        <f t="shared" si="19"/>
        <v>114.17910447761196</v>
      </c>
      <c r="U630" s="34">
        <f t="shared" si="20"/>
        <v>115.60634328358211</v>
      </c>
      <c r="V630" t="s">
        <v>79</v>
      </c>
      <c r="W630" s="32">
        <v>15</v>
      </c>
      <c r="X630" s="32" t="s">
        <v>80</v>
      </c>
      <c r="AD630" s="1">
        <v>194917855188</v>
      </c>
      <c r="AN630">
        <v>30</v>
      </c>
      <c r="AO630" t="s">
        <v>81</v>
      </c>
    </row>
    <row r="631" spans="1:41" ht="90" x14ac:dyDescent="0.25">
      <c r="A631" s="2">
        <v>194917855195</v>
      </c>
      <c r="B631" t="s">
        <v>71</v>
      </c>
      <c r="C631" t="s">
        <v>72</v>
      </c>
      <c r="D631" t="s">
        <v>1919</v>
      </c>
      <c r="E631" t="s">
        <v>1920</v>
      </c>
      <c r="F631">
        <v>316210</v>
      </c>
      <c r="G631" s="35" t="s">
        <v>1869</v>
      </c>
      <c r="H631" s="31" t="s">
        <v>1921</v>
      </c>
      <c r="J631" t="s">
        <v>77</v>
      </c>
      <c r="M631">
        <v>145</v>
      </c>
      <c r="P631" t="s">
        <v>78</v>
      </c>
      <c r="Q631" s="55">
        <v>139.09090909090909</v>
      </c>
      <c r="R631" s="32">
        <v>76.5</v>
      </c>
      <c r="S631" s="33">
        <v>0.33</v>
      </c>
      <c r="T631" s="34">
        <f t="shared" si="19"/>
        <v>114.17910447761196</v>
      </c>
      <c r="U631" s="34">
        <f t="shared" si="20"/>
        <v>115.60634328358211</v>
      </c>
      <c r="V631" t="s">
        <v>79</v>
      </c>
      <c r="W631" s="32">
        <v>15</v>
      </c>
      <c r="X631" s="32" t="s">
        <v>80</v>
      </c>
      <c r="AD631" s="1">
        <v>194917855195</v>
      </c>
      <c r="AN631">
        <v>30</v>
      </c>
      <c r="AO631" t="s">
        <v>81</v>
      </c>
    </row>
    <row r="632" spans="1:41" ht="90" x14ac:dyDescent="0.25">
      <c r="A632" s="2">
        <v>194917855201</v>
      </c>
      <c r="B632" t="s">
        <v>71</v>
      </c>
      <c r="C632" t="s">
        <v>72</v>
      </c>
      <c r="D632" t="s">
        <v>1922</v>
      </c>
      <c r="E632" t="s">
        <v>1923</v>
      </c>
      <c r="F632">
        <v>316210</v>
      </c>
      <c r="G632" s="35" t="s">
        <v>1869</v>
      </c>
      <c r="H632" s="31" t="s">
        <v>1924</v>
      </c>
      <c r="J632" t="s">
        <v>77</v>
      </c>
      <c r="M632">
        <v>145</v>
      </c>
      <c r="P632" t="s">
        <v>78</v>
      </c>
      <c r="Q632" s="55">
        <v>139.09090909090909</v>
      </c>
      <c r="R632" s="32">
        <v>76.5</v>
      </c>
      <c r="S632" s="33">
        <v>0.33</v>
      </c>
      <c r="T632" s="34">
        <f t="shared" si="19"/>
        <v>114.17910447761196</v>
      </c>
      <c r="U632" s="34">
        <f t="shared" si="20"/>
        <v>115.60634328358211</v>
      </c>
      <c r="V632" t="s">
        <v>79</v>
      </c>
      <c r="W632" s="32">
        <v>15</v>
      </c>
      <c r="X632" s="32" t="s">
        <v>80</v>
      </c>
      <c r="AD632" s="1">
        <v>194917855201</v>
      </c>
      <c r="AN632">
        <v>30</v>
      </c>
      <c r="AO632" t="s">
        <v>81</v>
      </c>
    </row>
    <row r="633" spans="1:41" ht="90" x14ac:dyDescent="0.25">
      <c r="A633" s="2">
        <v>194917855218</v>
      </c>
      <c r="B633" t="s">
        <v>71</v>
      </c>
      <c r="C633" t="s">
        <v>72</v>
      </c>
      <c r="D633" t="s">
        <v>1925</v>
      </c>
      <c r="E633" t="s">
        <v>1926</v>
      </c>
      <c r="F633">
        <v>316210</v>
      </c>
      <c r="G633" s="35" t="s">
        <v>1869</v>
      </c>
      <c r="H633" s="31" t="s">
        <v>1927</v>
      </c>
      <c r="J633" t="s">
        <v>77</v>
      </c>
      <c r="M633">
        <v>145</v>
      </c>
      <c r="P633" t="s">
        <v>78</v>
      </c>
      <c r="Q633" s="55">
        <v>139.09090909090909</v>
      </c>
      <c r="R633" s="32">
        <v>76.5</v>
      </c>
      <c r="S633" s="33">
        <v>0.33</v>
      </c>
      <c r="T633" s="34">
        <f t="shared" si="19"/>
        <v>114.17910447761196</v>
      </c>
      <c r="U633" s="34">
        <f t="shared" si="20"/>
        <v>115.60634328358211</v>
      </c>
      <c r="V633" t="s">
        <v>79</v>
      </c>
      <c r="W633" s="32">
        <v>15</v>
      </c>
      <c r="X633" s="32" t="s">
        <v>80</v>
      </c>
      <c r="AD633" s="1">
        <v>194917855218</v>
      </c>
      <c r="AN633">
        <v>30</v>
      </c>
      <c r="AO633" t="s">
        <v>81</v>
      </c>
    </row>
    <row r="634" spans="1:41" ht="90" x14ac:dyDescent="0.25">
      <c r="A634" s="2">
        <v>194917855225</v>
      </c>
      <c r="B634" t="s">
        <v>71</v>
      </c>
      <c r="C634" t="s">
        <v>72</v>
      </c>
      <c r="D634" t="s">
        <v>1928</v>
      </c>
      <c r="E634" t="s">
        <v>1929</v>
      </c>
      <c r="F634">
        <v>316210</v>
      </c>
      <c r="G634" s="35" t="s">
        <v>1869</v>
      </c>
      <c r="H634" s="31" t="s">
        <v>1930</v>
      </c>
      <c r="J634" t="s">
        <v>77</v>
      </c>
      <c r="M634">
        <v>145</v>
      </c>
      <c r="P634" t="s">
        <v>78</v>
      </c>
      <c r="Q634" s="55">
        <v>139.09090909090909</v>
      </c>
      <c r="R634" s="32">
        <v>76.5</v>
      </c>
      <c r="S634" s="33">
        <v>0.33</v>
      </c>
      <c r="T634" s="34">
        <f t="shared" si="19"/>
        <v>114.17910447761196</v>
      </c>
      <c r="U634" s="34">
        <f t="shared" si="20"/>
        <v>115.60634328358211</v>
      </c>
      <c r="V634" t="s">
        <v>79</v>
      </c>
      <c r="W634" s="32">
        <v>15</v>
      </c>
      <c r="X634" s="32" t="s">
        <v>80</v>
      </c>
      <c r="AD634" s="1">
        <v>194917855225</v>
      </c>
      <c r="AN634">
        <v>30</v>
      </c>
      <c r="AO634" t="s">
        <v>81</v>
      </c>
    </row>
    <row r="635" spans="1:41" ht="90" x14ac:dyDescent="0.25">
      <c r="A635" s="2">
        <v>194917855232</v>
      </c>
      <c r="B635" t="s">
        <v>71</v>
      </c>
      <c r="C635" t="s">
        <v>72</v>
      </c>
      <c r="D635" t="s">
        <v>1931</v>
      </c>
      <c r="E635" t="s">
        <v>1932</v>
      </c>
      <c r="F635">
        <v>316210</v>
      </c>
      <c r="G635" s="35" t="s">
        <v>1869</v>
      </c>
      <c r="H635" s="31" t="s">
        <v>1933</v>
      </c>
      <c r="J635" t="s">
        <v>77</v>
      </c>
      <c r="M635">
        <v>145</v>
      </c>
      <c r="P635" t="s">
        <v>78</v>
      </c>
      <c r="Q635" s="55">
        <v>139.09090909090909</v>
      </c>
      <c r="R635" s="32">
        <v>76.5</v>
      </c>
      <c r="S635" s="33">
        <v>0.33</v>
      </c>
      <c r="T635" s="34">
        <f t="shared" si="19"/>
        <v>114.17910447761196</v>
      </c>
      <c r="U635" s="34">
        <f t="shared" si="20"/>
        <v>115.60634328358211</v>
      </c>
      <c r="V635" t="s">
        <v>79</v>
      </c>
      <c r="W635" s="32">
        <v>15</v>
      </c>
      <c r="X635" s="32" t="s">
        <v>80</v>
      </c>
      <c r="AD635" s="1">
        <v>194917855232</v>
      </c>
      <c r="AN635">
        <v>30</v>
      </c>
      <c r="AO635" t="s">
        <v>81</v>
      </c>
    </row>
    <row r="636" spans="1:41" ht="90" x14ac:dyDescent="0.25">
      <c r="A636" s="2">
        <v>194917855249</v>
      </c>
      <c r="B636" t="s">
        <v>71</v>
      </c>
      <c r="C636" t="s">
        <v>72</v>
      </c>
      <c r="D636" t="s">
        <v>1934</v>
      </c>
      <c r="E636" t="s">
        <v>1935</v>
      </c>
      <c r="F636">
        <v>316210</v>
      </c>
      <c r="G636" s="35" t="s">
        <v>1869</v>
      </c>
      <c r="H636" s="31" t="s">
        <v>1936</v>
      </c>
      <c r="J636" t="s">
        <v>77</v>
      </c>
      <c r="M636">
        <v>145</v>
      </c>
      <c r="P636" t="s">
        <v>78</v>
      </c>
      <c r="Q636" s="55">
        <v>139.09090909090909</v>
      </c>
      <c r="R636" s="32">
        <v>76.5</v>
      </c>
      <c r="S636" s="33">
        <v>0.33</v>
      </c>
      <c r="T636" s="34">
        <f t="shared" si="19"/>
        <v>114.17910447761196</v>
      </c>
      <c r="U636" s="34">
        <f t="shared" si="20"/>
        <v>115.60634328358211</v>
      </c>
      <c r="V636" t="s">
        <v>79</v>
      </c>
      <c r="W636" s="32">
        <v>15</v>
      </c>
      <c r="X636" s="32" t="s">
        <v>80</v>
      </c>
      <c r="AD636" s="1">
        <v>194917855249</v>
      </c>
      <c r="AN636">
        <v>30</v>
      </c>
      <c r="AO636" t="s">
        <v>81</v>
      </c>
    </row>
    <row r="637" spans="1:41" ht="90" x14ac:dyDescent="0.25">
      <c r="A637" s="2">
        <v>194917855256</v>
      </c>
      <c r="B637" t="s">
        <v>71</v>
      </c>
      <c r="C637" t="s">
        <v>72</v>
      </c>
      <c r="D637" t="s">
        <v>1937</v>
      </c>
      <c r="E637" t="s">
        <v>1938</v>
      </c>
      <c r="F637">
        <v>316210</v>
      </c>
      <c r="G637" s="35" t="s">
        <v>1869</v>
      </c>
      <c r="H637" s="31" t="s">
        <v>1939</v>
      </c>
      <c r="J637" t="s">
        <v>77</v>
      </c>
      <c r="M637">
        <v>145</v>
      </c>
      <c r="P637" t="s">
        <v>78</v>
      </c>
      <c r="Q637" s="55">
        <v>139.09090909090909</v>
      </c>
      <c r="R637" s="32">
        <v>76.5</v>
      </c>
      <c r="S637" s="33">
        <v>0.33</v>
      </c>
      <c r="T637" s="34">
        <f t="shared" si="19"/>
        <v>114.17910447761196</v>
      </c>
      <c r="U637" s="34">
        <f t="shared" si="20"/>
        <v>115.60634328358211</v>
      </c>
      <c r="V637" t="s">
        <v>79</v>
      </c>
      <c r="W637" s="32">
        <v>15</v>
      </c>
      <c r="X637" s="32" t="s">
        <v>80</v>
      </c>
      <c r="AD637" s="1">
        <v>194917855256</v>
      </c>
      <c r="AN637">
        <v>30</v>
      </c>
      <c r="AO637" t="s">
        <v>81</v>
      </c>
    </row>
    <row r="638" spans="1:41" ht="90" x14ac:dyDescent="0.25">
      <c r="A638" s="2">
        <v>194917855263</v>
      </c>
      <c r="B638" t="s">
        <v>71</v>
      </c>
      <c r="C638" t="s">
        <v>72</v>
      </c>
      <c r="D638" t="s">
        <v>1940</v>
      </c>
      <c r="E638" t="s">
        <v>1941</v>
      </c>
      <c r="F638">
        <v>316210</v>
      </c>
      <c r="G638" s="35" t="s">
        <v>1942</v>
      </c>
      <c r="H638" s="31" t="s">
        <v>1943</v>
      </c>
      <c r="J638" t="s">
        <v>77</v>
      </c>
      <c r="M638">
        <v>130</v>
      </c>
      <c r="P638" t="s">
        <v>78</v>
      </c>
      <c r="Q638" s="55">
        <v>124.54545454545453</v>
      </c>
      <c r="R638" s="32">
        <v>68.5</v>
      </c>
      <c r="S638" s="33">
        <v>0.33</v>
      </c>
      <c r="T638" s="34">
        <f t="shared" si="19"/>
        <v>102.23880597014926</v>
      </c>
      <c r="U638" s="34">
        <f t="shared" si="20"/>
        <v>103.51679104477611</v>
      </c>
      <c r="V638" t="s">
        <v>79</v>
      </c>
      <c r="W638" s="32">
        <v>15</v>
      </c>
      <c r="X638" s="32" t="s">
        <v>80</v>
      </c>
      <c r="AD638" s="1">
        <v>194917855263</v>
      </c>
      <c r="AN638">
        <v>30</v>
      </c>
      <c r="AO638" t="s">
        <v>81</v>
      </c>
    </row>
    <row r="639" spans="1:41" ht="90" x14ac:dyDescent="0.25">
      <c r="A639" s="2">
        <v>194917855270</v>
      </c>
      <c r="B639" t="s">
        <v>71</v>
      </c>
      <c r="C639" t="s">
        <v>72</v>
      </c>
      <c r="D639" t="s">
        <v>1944</v>
      </c>
      <c r="E639" t="s">
        <v>1945</v>
      </c>
      <c r="F639">
        <v>316210</v>
      </c>
      <c r="G639" s="35" t="s">
        <v>1942</v>
      </c>
      <c r="H639" s="31" t="s">
        <v>1946</v>
      </c>
      <c r="J639" t="s">
        <v>77</v>
      </c>
      <c r="M639">
        <v>130</v>
      </c>
      <c r="P639" t="s">
        <v>78</v>
      </c>
      <c r="Q639" s="55">
        <v>124.54545454545453</v>
      </c>
      <c r="R639" s="32">
        <v>68.5</v>
      </c>
      <c r="S639" s="33">
        <v>0.33</v>
      </c>
      <c r="T639" s="34">
        <f t="shared" si="19"/>
        <v>102.23880597014926</v>
      </c>
      <c r="U639" s="34">
        <f t="shared" si="20"/>
        <v>103.51679104477611</v>
      </c>
      <c r="V639" t="s">
        <v>79</v>
      </c>
      <c r="W639" s="32">
        <v>15</v>
      </c>
      <c r="X639" s="32" t="s">
        <v>80</v>
      </c>
      <c r="AD639" s="1">
        <v>194917855270</v>
      </c>
      <c r="AN639">
        <v>30</v>
      </c>
      <c r="AO639" t="s">
        <v>81</v>
      </c>
    </row>
    <row r="640" spans="1:41" ht="90" x14ac:dyDescent="0.25">
      <c r="A640" s="2">
        <v>194917855287</v>
      </c>
      <c r="B640" t="s">
        <v>71</v>
      </c>
      <c r="C640" t="s">
        <v>72</v>
      </c>
      <c r="D640" t="s">
        <v>1947</v>
      </c>
      <c r="E640" t="s">
        <v>1948</v>
      </c>
      <c r="F640">
        <v>316210</v>
      </c>
      <c r="G640" s="35" t="s">
        <v>1942</v>
      </c>
      <c r="H640" s="31" t="s">
        <v>1949</v>
      </c>
      <c r="J640" t="s">
        <v>77</v>
      </c>
      <c r="M640">
        <v>130</v>
      </c>
      <c r="P640" t="s">
        <v>78</v>
      </c>
      <c r="Q640" s="55">
        <v>124.54545454545453</v>
      </c>
      <c r="R640" s="32">
        <v>68.5</v>
      </c>
      <c r="S640" s="33">
        <v>0.33</v>
      </c>
      <c r="T640" s="34">
        <f t="shared" si="19"/>
        <v>102.23880597014926</v>
      </c>
      <c r="U640" s="34">
        <f t="shared" si="20"/>
        <v>103.51679104477611</v>
      </c>
      <c r="V640" t="s">
        <v>79</v>
      </c>
      <c r="W640" s="32">
        <v>15</v>
      </c>
      <c r="X640" s="32" t="s">
        <v>80</v>
      </c>
      <c r="AD640" s="1">
        <v>194917855287</v>
      </c>
      <c r="AN640">
        <v>30</v>
      </c>
      <c r="AO640" t="s">
        <v>81</v>
      </c>
    </row>
    <row r="641" spans="1:41" ht="90" x14ac:dyDescent="0.25">
      <c r="A641" s="2">
        <v>194917855294</v>
      </c>
      <c r="B641" t="s">
        <v>71</v>
      </c>
      <c r="C641" t="s">
        <v>72</v>
      </c>
      <c r="D641" t="s">
        <v>1950</v>
      </c>
      <c r="E641" t="s">
        <v>1951</v>
      </c>
      <c r="F641">
        <v>316210</v>
      </c>
      <c r="G641" s="35" t="s">
        <v>1942</v>
      </c>
      <c r="H641" s="31" t="s">
        <v>1952</v>
      </c>
      <c r="J641" t="s">
        <v>77</v>
      </c>
      <c r="M641">
        <v>130</v>
      </c>
      <c r="P641" t="s">
        <v>78</v>
      </c>
      <c r="Q641" s="55">
        <v>124.54545454545453</v>
      </c>
      <c r="R641" s="32">
        <v>68.5</v>
      </c>
      <c r="S641" s="33">
        <v>0.33</v>
      </c>
      <c r="T641" s="34">
        <f t="shared" si="19"/>
        <v>102.23880597014926</v>
      </c>
      <c r="U641" s="34">
        <f t="shared" si="20"/>
        <v>103.51679104477611</v>
      </c>
      <c r="V641" t="s">
        <v>79</v>
      </c>
      <c r="W641" s="32">
        <v>15</v>
      </c>
      <c r="X641" s="32" t="s">
        <v>80</v>
      </c>
      <c r="AD641" s="1">
        <v>194917855294</v>
      </c>
      <c r="AN641">
        <v>30</v>
      </c>
      <c r="AO641" t="s">
        <v>81</v>
      </c>
    </row>
    <row r="642" spans="1:41" ht="90" x14ac:dyDescent="0.25">
      <c r="A642" s="2">
        <v>194917855300</v>
      </c>
      <c r="B642" t="s">
        <v>71</v>
      </c>
      <c r="C642" t="s">
        <v>72</v>
      </c>
      <c r="D642" t="s">
        <v>1953</v>
      </c>
      <c r="E642" t="s">
        <v>1954</v>
      </c>
      <c r="F642">
        <v>316210</v>
      </c>
      <c r="G642" s="35" t="s">
        <v>1942</v>
      </c>
      <c r="H642" s="31" t="s">
        <v>1955</v>
      </c>
      <c r="J642" t="s">
        <v>77</v>
      </c>
      <c r="M642">
        <v>130</v>
      </c>
      <c r="P642" t="s">
        <v>78</v>
      </c>
      <c r="Q642" s="55">
        <v>124.54545454545453</v>
      </c>
      <c r="R642" s="32">
        <v>68.5</v>
      </c>
      <c r="S642" s="33">
        <v>0.33</v>
      </c>
      <c r="T642" s="34">
        <f t="shared" si="19"/>
        <v>102.23880597014926</v>
      </c>
      <c r="U642" s="34">
        <f t="shared" si="20"/>
        <v>103.51679104477611</v>
      </c>
      <c r="V642" t="s">
        <v>79</v>
      </c>
      <c r="W642" s="32">
        <v>15</v>
      </c>
      <c r="X642" s="32" t="s">
        <v>80</v>
      </c>
      <c r="AD642" s="1">
        <v>194917855300</v>
      </c>
      <c r="AN642">
        <v>30</v>
      </c>
      <c r="AO642" t="s">
        <v>81</v>
      </c>
    </row>
    <row r="643" spans="1:41" ht="90" x14ac:dyDescent="0.25">
      <c r="A643" s="2">
        <v>194917855317</v>
      </c>
      <c r="B643" t="s">
        <v>71</v>
      </c>
      <c r="C643" t="s">
        <v>72</v>
      </c>
      <c r="D643" t="s">
        <v>1956</v>
      </c>
      <c r="E643" t="s">
        <v>1957</v>
      </c>
      <c r="F643">
        <v>316210</v>
      </c>
      <c r="G643" s="35" t="s">
        <v>1942</v>
      </c>
      <c r="H643" s="31" t="s">
        <v>1958</v>
      </c>
      <c r="J643" t="s">
        <v>77</v>
      </c>
      <c r="M643">
        <v>130</v>
      </c>
      <c r="P643" t="s">
        <v>78</v>
      </c>
      <c r="Q643" s="55">
        <v>124.54545454545453</v>
      </c>
      <c r="R643" s="32">
        <v>68.5</v>
      </c>
      <c r="S643" s="33">
        <v>0.33</v>
      </c>
      <c r="T643" s="34">
        <f t="shared" si="19"/>
        <v>102.23880597014926</v>
      </c>
      <c r="U643" s="34">
        <f t="shared" si="20"/>
        <v>103.51679104477611</v>
      </c>
      <c r="V643" t="s">
        <v>79</v>
      </c>
      <c r="W643" s="32">
        <v>15</v>
      </c>
      <c r="X643" s="32" t="s">
        <v>80</v>
      </c>
      <c r="AD643" s="1">
        <v>194917855317</v>
      </c>
      <c r="AN643">
        <v>30</v>
      </c>
      <c r="AO643" t="s">
        <v>81</v>
      </c>
    </row>
    <row r="644" spans="1:41" ht="90" x14ac:dyDescent="0.25">
      <c r="A644" s="2">
        <v>194917855324</v>
      </c>
      <c r="B644" t="s">
        <v>71</v>
      </c>
      <c r="C644" t="s">
        <v>72</v>
      </c>
      <c r="D644" t="s">
        <v>1959</v>
      </c>
      <c r="E644" t="s">
        <v>1960</v>
      </c>
      <c r="F644">
        <v>316210</v>
      </c>
      <c r="G644" s="35" t="s">
        <v>1942</v>
      </c>
      <c r="H644" s="31" t="s">
        <v>1961</v>
      </c>
      <c r="J644" t="s">
        <v>77</v>
      </c>
      <c r="M644">
        <v>130</v>
      </c>
      <c r="P644" t="s">
        <v>78</v>
      </c>
      <c r="Q644" s="55">
        <v>124.54545454545453</v>
      </c>
      <c r="R644" s="32">
        <v>68.5</v>
      </c>
      <c r="S644" s="33">
        <v>0.33</v>
      </c>
      <c r="T644" s="34">
        <f t="shared" ref="T644:T707" si="21">R644/(1-S644)</f>
        <v>102.23880597014926</v>
      </c>
      <c r="U644" s="34">
        <f t="shared" ref="U644:U707" si="22">T644*(1+1.25%)</f>
        <v>103.51679104477611</v>
      </c>
      <c r="V644" t="s">
        <v>79</v>
      </c>
      <c r="W644" s="32">
        <v>15</v>
      </c>
      <c r="X644" s="32" t="s">
        <v>80</v>
      </c>
      <c r="AD644" s="1">
        <v>194917855324</v>
      </c>
      <c r="AN644">
        <v>30</v>
      </c>
      <c r="AO644" t="s">
        <v>81</v>
      </c>
    </row>
    <row r="645" spans="1:41" ht="90" x14ac:dyDescent="0.25">
      <c r="A645" s="2">
        <v>194917855331</v>
      </c>
      <c r="B645" t="s">
        <v>71</v>
      </c>
      <c r="C645" t="s">
        <v>72</v>
      </c>
      <c r="D645" t="s">
        <v>1962</v>
      </c>
      <c r="E645" t="s">
        <v>1963</v>
      </c>
      <c r="F645">
        <v>316210</v>
      </c>
      <c r="G645" s="35" t="s">
        <v>1942</v>
      </c>
      <c r="H645" s="31" t="s">
        <v>1964</v>
      </c>
      <c r="J645" t="s">
        <v>77</v>
      </c>
      <c r="M645">
        <v>130</v>
      </c>
      <c r="P645" t="s">
        <v>78</v>
      </c>
      <c r="Q645" s="55">
        <v>124.54545454545453</v>
      </c>
      <c r="R645" s="32">
        <v>68.5</v>
      </c>
      <c r="S645" s="33">
        <v>0.33</v>
      </c>
      <c r="T645" s="34">
        <f t="shared" si="21"/>
        <v>102.23880597014926</v>
      </c>
      <c r="U645" s="34">
        <f t="shared" si="22"/>
        <v>103.51679104477611</v>
      </c>
      <c r="V645" t="s">
        <v>79</v>
      </c>
      <c r="W645" s="32">
        <v>15</v>
      </c>
      <c r="X645" s="32" t="s">
        <v>80</v>
      </c>
      <c r="AD645" s="1">
        <v>194917855331</v>
      </c>
      <c r="AN645">
        <v>30</v>
      </c>
      <c r="AO645" t="s">
        <v>81</v>
      </c>
    </row>
    <row r="646" spans="1:41" ht="90" x14ac:dyDescent="0.25">
      <c r="A646" s="2">
        <v>194917855348</v>
      </c>
      <c r="B646" t="s">
        <v>71</v>
      </c>
      <c r="C646" t="s">
        <v>72</v>
      </c>
      <c r="D646" t="s">
        <v>1965</v>
      </c>
      <c r="E646" t="s">
        <v>1966</v>
      </c>
      <c r="F646">
        <v>316210</v>
      </c>
      <c r="G646" s="35" t="s">
        <v>1942</v>
      </c>
      <c r="H646" s="31" t="s">
        <v>1967</v>
      </c>
      <c r="J646" t="s">
        <v>77</v>
      </c>
      <c r="M646">
        <v>130</v>
      </c>
      <c r="P646" t="s">
        <v>78</v>
      </c>
      <c r="Q646" s="55">
        <v>124.54545454545453</v>
      </c>
      <c r="R646" s="32">
        <v>68.5</v>
      </c>
      <c r="S646" s="33">
        <v>0.33</v>
      </c>
      <c r="T646" s="34">
        <f t="shared" si="21"/>
        <v>102.23880597014926</v>
      </c>
      <c r="U646" s="34">
        <f t="shared" si="22"/>
        <v>103.51679104477611</v>
      </c>
      <c r="V646" t="s">
        <v>79</v>
      </c>
      <c r="W646" s="32">
        <v>15</v>
      </c>
      <c r="X646" s="32" t="s">
        <v>80</v>
      </c>
      <c r="AD646" s="1">
        <v>194917855348</v>
      </c>
      <c r="AN646">
        <v>30</v>
      </c>
      <c r="AO646" t="s">
        <v>81</v>
      </c>
    </row>
    <row r="647" spans="1:41" ht="90" x14ac:dyDescent="0.25">
      <c r="A647" s="2">
        <v>194917855355</v>
      </c>
      <c r="B647" t="s">
        <v>71</v>
      </c>
      <c r="C647" t="s">
        <v>72</v>
      </c>
      <c r="D647" t="s">
        <v>1968</v>
      </c>
      <c r="E647" t="s">
        <v>1969</v>
      </c>
      <c r="F647">
        <v>316210</v>
      </c>
      <c r="G647" s="35" t="s">
        <v>1942</v>
      </c>
      <c r="H647" s="31" t="s">
        <v>1970</v>
      </c>
      <c r="J647" t="s">
        <v>77</v>
      </c>
      <c r="M647">
        <v>130</v>
      </c>
      <c r="P647" t="s">
        <v>78</v>
      </c>
      <c r="Q647" s="55">
        <v>124.54545454545453</v>
      </c>
      <c r="R647" s="32">
        <v>68.5</v>
      </c>
      <c r="S647" s="33">
        <v>0.33</v>
      </c>
      <c r="T647" s="34">
        <f t="shared" si="21"/>
        <v>102.23880597014926</v>
      </c>
      <c r="U647" s="34">
        <f t="shared" si="22"/>
        <v>103.51679104477611</v>
      </c>
      <c r="V647" t="s">
        <v>79</v>
      </c>
      <c r="W647" s="32">
        <v>15</v>
      </c>
      <c r="X647" s="32" t="s">
        <v>80</v>
      </c>
      <c r="AD647" s="1">
        <v>194917855355</v>
      </c>
      <c r="AN647">
        <v>30</v>
      </c>
      <c r="AO647" t="s">
        <v>81</v>
      </c>
    </row>
    <row r="648" spans="1:41" ht="90" x14ac:dyDescent="0.25">
      <c r="A648" s="2">
        <v>194917855362</v>
      </c>
      <c r="B648" t="s">
        <v>71</v>
      </c>
      <c r="C648" t="s">
        <v>72</v>
      </c>
      <c r="D648" t="s">
        <v>1971</v>
      </c>
      <c r="E648" t="s">
        <v>1972</v>
      </c>
      <c r="F648">
        <v>316210</v>
      </c>
      <c r="G648" s="35" t="s">
        <v>1942</v>
      </c>
      <c r="H648" s="31" t="s">
        <v>1973</v>
      </c>
      <c r="J648" t="s">
        <v>77</v>
      </c>
      <c r="M648">
        <v>130</v>
      </c>
      <c r="P648" t="s">
        <v>78</v>
      </c>
      <c r="Q648" s="55">
        <v>124.54545454545453</v>
      </c>
      <c r="R648" s="32">
        <v>68.5</v>
      </c>
      <c r="S648" s="33">
        <v>0.33</v>
      </c>
      <c r="T648" s="34">
        <f t="shared" si="21"/>
        <v>102.23880597014926</v>
      </c>
      <c r="U648" s="34">
        <f t="shared" si="22"/>
        <v>103.51679104477611</v>
      </c>
      <c r="V648" t="s">
        <v>79</v>
      </c>
      <c r="W648" s="32">
        <v>15</v>
      </c>
      <c r="X648" s="32" t="s">
        <v>80</v>
      </c>
      <c r="AD648" s="1">
        <v>194917855362</v>
      </c>
      <c r="AN648">
        <v>30</v>
      </c>
      <c r="AO648" t="s">
        <v>81</v>
      </c>
    </row>
    <row r="649" spans="1:41" ht="90" x14ac:dyDescent="0.25">
      <c r="A649" s="2">
        <v>194917855379</v>
      </c>
      <c r="B649" t="s">
        <v>71</v>
      </c>
      <c r="C649" t="s">
        <v>72</v>
      </c>
      <c r="D649" t="s">
        <v>1974</v>
      </c>
      <c r="E649" t="s">
        <v>1975</v>
      </c>
      <c r="F649">
        <v>316210</v>
      </c>
      <c r="G649" s="35" t="s">
        <v>1942</v>
      </c>
      <c r="H649" s="31" t="s">
        <v>1976</v>
      </c>
      <c r="J649" t="s">
        <v>77</v>
      </c>
      <c r="M649">
        <v>130</v>
      </c>
      <c r="P649" t="s">
        <v>78</v>
      </c>
      <c r="Q649" s="55">
        <v>124.54545454545453</v>
      </c>
      <c r="R649" s="32">
        <v>68.5</v>
      </c>
      <c r="S649" s="33">
        <v>0.33</v>
      </c>
      <c r="T649" s="34">
        <f t="shared" si="21"/>
        <v>102.23880597014926</v>
      </c>
      <c r="U649" s="34">
        <f t="shared" si="22"/>
        <v>103.51679104477611</v>
      </c>
      <c r="V649" t="s">
        <v>79</v>
      </c>
      <c r="W649" s="32">
        <v>15</v>
      </c>
      <c r="X649" s="32" t="s">
        <v>80</v>
      </c>
      <c r="AD649" s="1">
        <v>194917855379</v>
      </c>
      <c r="AN649">
        <v>30</v>
      </c>
      <c r="AO649" t="s">
        <v>81</v>
      </c>
    </row>
    <row r="650" spans="1:41" ht="90" x14ac:dyDescent="0.25">
      <c r="A650" s="2">
        <v>195022165988</v>
      </c>
      <c r="B650" t="s">
        <v>71</v>
      </c>
      <c r="C650" t="s">
        <v>72</v>
      </c>
      <c r="D650" t="s">
        <v>1977</v>
      </c>
      <c r="E650" t="s">
        <v>1978</v>
      </c>
      <c r="F650">
        <v>316210</v>
      </c>
      <c r="G650" s="35" t="s">
        <v>1979</v>
      </c>
      <c r="H650" s="31" t="s">
        <v>1980</v>
      </c>
      <c r="J650" t="s">
        <v>77</v>
      </c>
      <c r="M650">
        <v>150</v>
      </c>
      <c r="P650" t="s">
        <v>78</v>
      </c>
      <c r="Q650" s="55">
        <v>136.36363636363635</v>
      </c>
      <c r="R650" s="32">
        <v>75</v>
      </c>
      <c r="S650" s="33">
        <v>0.33</v>
      </c>
      <c r="T650" s="34">
        <f t="shared" si="21"/>
        <v>111.9402985074627</v>
      </c>
      <c r="U650" s="34">
        <f t="shared" si="22"/>
        <v>113.33955223880598</v>
      </c>
      <c r="V650" t="s">
        <v>79</v>
      </c>
      <c r="W650" s="32">
        <v>15</v>
      </c>
      <c r="X650" s="32" t="s">
        <v>80</v>
      </c>
      <c r="AD650" s="1">
        <v>195022165988</v>
      </c>
      <c r="AN650">
        <v>30</v>
      </c>
      <c r="AO650" t="s">
        <v>81</v>
      </c>
    </row>
    <row r="651" spans="1:41" ht="90" x14ac:dyDescent="0.25">
      <c r="A651" s="2">
        <v>195022165841</v>
      </c>
      <c r="B651" t="s">
        <v>71</v>
      </c>
      <c r="C651" t="s">
        <v>72</v>
      </c>
      <c r="D651" t="s">
        <v>1981</v>
      </c>
      <c r="E651" t="s">
        <v>1982</v>
      </c>
      <c r="F651">
        <v>316210</v>
      </c>
      <c r="G651" s="35" t="s">
        <v>1979</v>
      </c>
      <c r="H651" s="31" t="s">
        <v>1983</v>
      </c>
      <c r="J651" t="s">
        <v>77</v>
      </c>
      <c r="M651">
        <v>150</v>
      </c>
      <c r="P651" t="s">
        <v>78</v>
      </c>
      <c r="Q651" s="55">
        <v>136.36363636363635</v>
      </c>
      <c r="R651" s="32">
        <v>75</v>
      </c>
      <c r="S651" s="33">
        <v>0.33</v>
      </c>
      <c r="T651" s="34">
        <f t="shared" si="21"/>
        <v>111.9402985074627</v>
      </c>
      <c r="U651" s="34">
        <f t="shared" si="22"/>
        <v>113.33955223880598</v>
      </c>
      <c r="V651" t="s">
        <v>79</v>
      </c>
      <c r="W651" s="32">
        <v>15</v>
      </c>
      <c r="X651" s="32" t="s">
        <v>80</v>
      </c>
      <c r="AD651" s="1">
        <v>195022165841</v>
      </c>
      <c r="AN651">
        <v>30</v>
      </c>
      <c r="AO651" t="s">
        <v>81</v>
      </c>
    </row>
    <row r="652" spans="1:41" ht="90" x14ac:dyDescent="0.25">
      <c r="A652" s="2">
        <v>195022165995</v>
      </c>
      <c r="B652" t="s">
        <v>71</v>
      </c>
      <c r="C652" t="s">
        <v>72</v>
      </c>
      <c r="D652" t="s">
        <v>1984</v>
      </c>
      <c r="E652" t="s">
        <v>1985</v>
      </c>
      <c r="F652">
        <v>316210</v>
      </c>
      <c r="G652" s="35" t="s">
        <v>1979</v>
      </c>
      <c r="H652" s="31" t="s">
        <v>1986</v>
      </c>
      <c r="J652" t="s">
        <v>77</v>
      </c>
      <c r="M652">
        <v>150</v>
      </c>
      <c r="P652" t="s">
        <v>78</v>
      </c>
      <c r="Q652" s="55">
        <v>136.36363636363635</v>
      </c>
      <c r="R652" s="32">
        <v>75</v>
      </c>
      <c r="S652" s="33">
        <v>0.33</v>
      </c>
      <c r="T652" s="34">
        <f t="shared" si="21"/>
        <v>111.9402985074627</v>
      </c>
      <c r="U652" s="34">
        <f t="shared" si="22"/>
        <v>113.33955223880598</v>
      </c>
      <c r="V652" t="s">
        <v>79</v>
      </c>
      <c r="W652" s="32">
        <v>15</v>
      </c>
      <c r="X652" s="32" t="s">
        <v>80</v>
      </c>
      <c r="AD652" s="1">
        <v>195022165995</v>
      </c>
      <c r="AN652">
        <v>30</v>
      </c>
      <c r="AO652" t="s">
        <v>81</v>
      </c>
    </row>
    <row r="653" spans="1:41" ht="90" x14ac:dyDescent="0.25">
      <c r="A653" s="2">
        <v>195022165858</v>
      </c>
      <c r="B653" t="s">
        <v>71</v>
      </c>
      <c r="C653" t="s">
        <v>72</v>
      </c>
      <c r="D653" t="s">
        <v>1987</v>
      </c>
      <c r="E653" t="s">
        <v>1988</v>
      </c>
      <c r="F653">
        <v>316210</v>
      </c>
      <c r="G653" s="35" t="s">
        <v>1979</v>
      </c>
      <c r="H653" s="31" t="s">
        <v>1989</v>
      </c>
      <c r="J653" t="s">
        <v>77</v>
      </c>
      <c r="M653">
        <v>150</v>
      </c>
      <c r="P653" t="s">
        <v>78</v>
      </c>
      <c r="Q653" s="55">
        <v>136.36363636363635</v>
      </c>
      <c r="R653" s="32">
        <v>75</v>
      </c>
      <c r="S653" s="33">
        <v>0.33</v>
      </c>
      <c r="T653" s="34">
        <f t="shared" si="21"/>
        <v>111.9402985074627</v>
      </c>
      <c r="U653" s="34">
        <f t="shared" si="22"/>
        <v>113.33955223880598</v>
      </c>
      <c r="V653" t="s">
        <v>79</v>
      </c>
      <c r="W653" s="32">
        <v>15</v>
      </c>
      <c r="X653" s="32" t="s">
        <v>80</v>
      </c>
      <c r="AD653" s="1">
        <v>195022165858</v>
      </c>
      <c r="AN653">
        <v>30</v>
      </c>
      <c r="AO653" t="s">
        <v>81</v>
      </c>
    </row>
    <row r="654" spans="1:41" ht="90" x14ac:dyDescent="0.25">
      <c r="A654" s="2">
        <v>195022166008</v>
      </c>
      <c r="B654" t="s">
        <v>71</v>
      </c>
      <c r="C654" t="s">
        <v>72</v>
      </c>
      <c r="D654" t="s">
        <v>1990</v>
      </c>
      <c r="E654" t="s">
        <v>1991</v>
      </c>
      <c r="F654">
        <v>316210</v>
      </c>
      <c r="G654" s="35" t="s">
        <v>1979</v>
      </c>
      <c r="H654" s="31" t="s">
        <v>1992</v>
      </c>
      <c r="J654" t="s">
        <v>77</v>
      </c>
      <c r="M654">
        <v>150</v>
      </c>
      <c r="P654" t="s">
        <v>78</v>
      </c>
      <c r="Q654" s="55">
        <v>136.36363636363635</v>
      </c>
      <c r="R654" s="32">
        <v>75</v>
      </c>
      <c r="S654" s="33">
        <v>0.33</v>
      </c>
      <c r="T654" s="34">
        <f t="shared" si="21"/>
        <v>111.9402985074627</v>
      </c>
      <c r="U654" s="34">
        <f t="shared" si="22"/>
        <v>113.33955223880598</v>
      </c>
      <c r="V654" t="s">
        <v>79</v>
      </c>
      <c r="W654" s="32">
        <v>15</v>
      </c>
      <c r="X654" s="32" t="s">
        <v>80</v>
      </c>
      <c r="AD654" s="1">
        <v>195022166008</v>
      </c>
      <c r="AN654">
        <v>30</v>
      </c>
      <c r="AO654" t="s">
        <v>81</v>
      </c>
    </row>
    <row r="655" spans="1:41" ht="90" x14ac:dyDescent="0.25">
      <c r="A655" s="2">
        <v>195022165865</v>
      </c>
      <c r="B655" t="s">
        <v>71</v>
      </c>
      <c r="C655" t="s">
        <v>72</v>
      </c>
      <c r="D655" t="s">
        <v>1993</v>
      </c>
      <c r="E655" t="s">
        <v>1994</v>
      </c>
      <c r="F655">
        <v>316210</v>
      </c>
      <c r="G655" s="35" t="s">
        <v>1979</v>
      </c>
      <c r="H655" s="31" t="s">
        <v>1995</v>
      </c>
      <c r="J655" t="s">
        <v>77</v>
      </c>
      <c r="M655">
        <v>150</v>
      </c>
      <c r="P655" t="s">
        <v>78</v>
      </c>
      <c r="Q655" s="55">
        <v>136.36363636363635</v>
      </c>
      <c r="R655" s="32">
        <v>75</v>
      </c>
      <c r="S655" s="33">
        <v>0.33</v>
      </c>
      <c r="T655" s="34">
        <f t="shared" si="21"/>
        <v>111.9402985074627</v>
      </c>
      <c r="U655" s="34">
        <f t="shared" si="22"/>
        <v>113.33955223880598</v>
      </c>
      <c r="V655" t="s">
        <v>79</v>
      </c>
      <c r="W655" s="32">
        <v>15</v>
      </c>
      <c r="X655" s="32" t="s">
        <v>80</v>
      </c>
      <c r="AD655" s="1">
        <v>195022165865</v>
      </c>
      <c r="AN655">
        <v>30</v>
      </c>
      <c r="AO655" t="s">
        <v>81</v>
      </c>
    </row>
    <row r="656" spans="1:41" ht="90" x14ac:dyDescent="0.25">
      <c r="A656" s="2">
        <v>195022166015</v>
      </c>
      <c r="B656" t="s">
        <v>71</v>
      </c>
      <c r="C656" t="s">
        <v>72</v>
      </c>
      <c r="D656" t="s">
        <v>1996</v>
      </c>
      <c r="E656" t="s">
        <v>1997</v>
      </c>
      <c r="F656">
        <v>316210</v>
      </c>
      <c r="G656" s="35" t="s">
        <v>1979</v>
      </c>
      <c r="H656" s="31" t="s">
        <v>1998</v>
      </c>
      <c r="J656" t="s">
        <v>77</v>
      </c>
      <c r="M656">
        <v>150</v>
      </c>
      <c r="P656" t="s">
        <v>78</v>
      </c>
      <c r="Q656" s="55">
        <v>136.36363636363635</v>
      </c>
      <c r="R656" s="32">
        <v>75</v>
      </c>
      <c r="S656" s="33">
        <v>0.33</v>
      </c>
      <c r="T656" s="34">
        <f t="shared" si="21"/>
        <v>111.9402985074627</v>
      </c>
      <c r="U656" s="34">
        <f t="shared" si="22"/>
        <v>113.33955223880598</v>
      </c>
      <c r="V656" t="s">
        <v>79</v>
      </c>
      <c r="W656" s="32">
        <v>15</v>
      </c>
      <c r="X656" s="32" t="s">
        <v>80</v>
      </c>
      <c r="AD656" s="1">
        <v>195022166015</v>
      </c>
      <c r="AN656">
        <v>30</v>
      </c>
      <c r="AO656" t="s">
        <v>81</v>
      </c>
    </row>
    <row r="657" spans="1:41" ht="90" x14ac:dyDescent="0.25">
      <c r="A657" s="2">
        <v>195022165872</v>
      </c>
      <c r="B657" t="s">
        <v>71</v>
      </c>
      <c r="C657" t="s">
        <v>72</v>
      </c>
      <c r="D657" t="s">
        <v>1999</v>
      </c>
      <c r="E657" t="s">
        <v>2000</v>
      </c>
      <c r="F657">
        <v>316210</v>
      </c>
      <c r="G657" s="35" t="s">
        <v>1979</v>
      </c>
      <c r="H657" s="31" t="s">
        <v>2001</v>
      </c>
      <c r="J657" t="s">
        <v>77</v>
      </c>
      <c r="M657">
        <v>150</v>
      </c>
      <c r="P657" t="s">
        <v>78</v>
      </c>
      <c r="Q657" s="55">
        <v>136.36363636363635</v>
      </c>
      <c r="R657" s="32">
        <v>75</v>
      </c>
      <c r="S657" s="33">
        <v>0.33</v>
      </c>
      <c r="T657" s="34">
        <f t="shared" si="21"/>
        <v>111.9402985074627</v>
      </c>
      <c r="U657" s="34">
        <f t="shared" si="22"/>
        <v>113.33955223880598</v>
      </c>
      <c r="V657" t="s">
        <v>79</v>
      </c>
      <c r="W657" s="32">
        <v>15</v>
      </c>
      <c r="X657" s="32" t="s">
        <v>80</v>
      </c>
      <c r="AD657" s="1">
        <v>195022165872</v>
      </c>
      <c r="AN657">
        <v>30</v>
      </c>
      <c r="AO657" t="s">
        <v>81</v>
      </c>
    </row>
    <row r="658" spans="1:41" ht="90" x14ac:dyDescent="0.25">
      <c r="A658" s="2">
        <v>195022166022</v>
      </c>
      <c r="B658" t="s">
        <v>71</v>
      </c>
      <c r="C658" t="s">
        <v>72</v>
      </c>
      <c r="D658" t="s">
        <v>2002</v>
      </c>
      <c r="E658" t="s">
        <v>2003</v>
      </c>
      <c r="F658">
        <v>316210</v>
      </c>
      <c r="G658" s="35" t="s">
        <v>1979</v>
      </c>
      <c r="H658" s="31" t="s">
        <v>2004</v>
      </c>
      <c r="J658" t="s">
        <v>77</v>
      </c>
      <c r="M658">
        <v>150</v>
      </c>
      <c r="P658" t="s">
        <v>78</v>
      </c>
      <c r="Q658" s="55">
        <v>136.36363636363635</v>
      </c>
      <c r="R658" s="32">
        <v>75</v>
      </c>
      <c r="S658" s="33">
        <v>0.33</v>
      </c>
      <c r="T658" s="34">
        <f t="shared" si="21"/>
        <v>111.9402985074627</v>
      </c>
      <c r="U658" s="34">
        <f t="shared" si="22"/>
        <v>113.33955223880598</v>
      </c>
      <c r="V658" t="s">
        <v>79</v>
      </c>
      <c r="W658" s="32">
        <v>15</v>
      </c>
      <c r="X658" s="32" t="s">
        <v>80</v>
      </c>
      <c r="AD658" s="1">
        <v>195022166022</v>
      </c>
      <c r="AN658">
        <v>30</v>
      </c>
      <c r="AO658" t="s">
        <v>81</v>
      </c>
    </row>
    <row r="659" spans="1:41" ht="90" x14ac:dyDescent="0.25">
      <c r="A659" s="2">
        <v>195022165889</v>
      </c>
      <c r="B659" t="s">
        <v>71</v>
      </c>
      <c r="C659" t="s">
        <v>72</v>
      </c>
      <c r="D659" t="s">
        <v>2005</v>
      </c>
      <c r="E659" t="s">
        <v>2006</v>
      </c>
      <c r="F659">
        <v>316210</v>
      </c>
      <c r="G659" s="35" t="s">
        <v>1979</v>
      </c>
      <c r="H659" s="31" t="s">
        <v>2007</v>
      </c>
      <c r="J659" t="s">
        <v>77</v>
      </c>
      <c r="M659">
        <v>150</v>
      </c>
      <c r="P659" t="s">
        <v>78</v>
      </c>
      <c r="Q659" s="55">
        <v>136.36363636363635</v>
      </c>
      <c r="R659" s="32">
        <v>75</v>
      </c>
      <c r="S659" s="33">
        <v>0.33</v>
      </c>
      <c r="T659" s="34">
        <f t="shared" si="21"/>
        <v>111.9402985074627</v>
      </c>
      <c r="U659" s="34">
        <f t="shared" si="22"/>
        <v>113.33955223880598</v>
      </c>
      <c r="V659" t="s">
        <v>79</v>
      </c>
      <c r="W659" s="32">
        <v>15</v>
      </c>
      <c r="X659" s="32" t="s">
        <v>80</v>
      </c>
      <c r="AD659" s="1">
        <v>195022165889</v>
      </c>
      <c r="AN659">
        <v>30</v>
      </c>
      <c r="AO659" t="s">
        <v>81</v>
      </c>
    </row>
    <row r="660" spans="1:41" ht="90" x14ac:dyDescent="0.25">
      <c r="A660" s="2">
        <v>195022166039</v>
      </c>
      <c r="B660" t="s">
        <v>71</v>
      </c>
      <c r="C660" t="s">
        <v>72</v>
      </c>
      <c r="D660" t="s">
        <v>2008</v>
      </c>
      <c r="E660" t="s">
        <v>2009</v>
      </c>
      <c r="F660">
        <v>316210</v>
      </c>
      <c r="G660" s="35" t="s">
        <v>1979</v>
      </c>
      <c r="H660" s="31" t="s">
        <v>2010</v>
      </c>
      <c r="J660" t="s">
        <v>77</v>
      </c>
      <c r="M660">
        <v>150</v>
      </c>
      <c r="P660" t="s">
        <v>78</v>
      </c>
      <c r="Q660" s="55">
        <v>136.36363636363635</v>
      </c>
      <c r="R660" s="32">
        <v>75</v>
      </c>
      <c r="S660" s="33">
        <v>0.33</v>
      </c>
      <c r="T660" s="34">
        <f t="shared" si="21"/>
        <v>111.9402985074627</v>
      </c>
      <c r="U660" s="34">
        <f t="shared" si="22"/>
        <v>113.33955223880598</v>
      </c>
      <c r="V660" t="s">
        <v>79</v>
      </c>
      <c r="W660" s="32">
        <v>15</v>
      </c>
      <c r="X660" s="32" t="s">
        <v>80</v>
      </c>
      <c r="AD660" s="1">
        <v>195022166039</v>
      </c>
      <c r="AN660">
        <v>30</v>
      </c>
      <c r="AO660" t="s">
        <v>81</v>
      </c>
    </row>
    <row r="661" spans="1:41" ht="90" x14ac:dyDescent="0.25">
      <c r="A661" s="2">
        <v>195022165896</v>
      </c>
      <c r="B661" t="s">
        <v>71</v>
      </c>
      <c r="C661" t="s">
        <v>72</v>
      </c>
      <c r="D661" t="s">
        <v>2011</v>
      </c>
      <c r="E661" t="s">
        <v>2012</v>
      </c>
      <c r="F661">
        <v>316210</v>
      </c>
      <c r="G661" s="35" t="s">
        <v>1979</v>
      </c>
      <c r="H661" s="31" t="s">
        <v>2013</v>
      </c>
      <c r="J661" t="s">
        <v>77</v>
      </c>
      <c r="M661">
        <v>150</v>
      </c>
      <c r="P661" t="s">
        <v>78</v>
      </c>
      <c r="Q661" s="55">
        <v>136.36363636363635</v>
      </c>
      <c r="R661" s="32">
        <v>75</v>
      </c>
      <c r="S661" s="33">
        <v>0.33</v>
      </c>
      <c r="T661" s="34">
        <f t="shared" si="21"/>
        <v>111.9402985074627</v>
      </c>
      <c r="U661" s="34">
        <f t="shared" si="22"/>
        <v>113.33955223880598</v>
      </c>
      <c r="V661" t="s">
        <v>79</v>
      </c>
      <c r="W661" s="32">
        <v>15</v>
      </c>
      <c r="X661" s="32" t="s">
        <v>80</v>
      </c>
      <c r="AD661" s="1">
        <v>195022165896</v>
      </c>
      <c r="AN661">
        <v>30</v>
      </c>
      <c r="AO661" t="s">
        <v>81</v>
      </c>
    </row>
    <row r="662" spans="1:41" ht="90" x14ac:dyDescent="0.25">
      <c r="A662" s="2">
        <v>195022166046</v>
      </c>
      <c r="B662" t="s">
        <v>71</v>
      </c>
      <c r="C662" t="s">
        <v>72</v>
      </c>
      <c r="D662" t="s">
        <v>2014</v>
      </c>
      <c r="E662" t="s">
        <v>2015</v>
      </c>
      <c r="F662">
        <v>316210</v>
      </c>
      <c r="G662" s="35" t="s">
        <v>1979</v>
      </c>
      <c r="H662" s="31" t="s">
        <v>2016</v>
      </c>
      <c r="J662" t="s">
        <v>77</v>
      </c>
      <c r="M662">
        <v>150</v>
      </c>
      <c r="P662" t="s">
        <v>78</v>
      </c>
      <c r="Q662" s="55">
        <v>136.36363636363635</v>
      </c>
      <c r="R662" s="32">
        <v>75</v>
      </c>
      <c r="S662" s="33">
        <v>0.33</v>
      </c>
      <c r="T662" s="34">
        <f t="shared" si="21"/>
        <v>111.9402985074627</v>
      </c>
      <c r="U662" s="34">
        <f t="shared" si="22"/>
        <v>113.33955223880598</v>
      </c>
      <c r="V662" t="s">
        <v>79</v>
      </c>
      <c r="W662" s="32">
        <v>15</v>
      </c>
      <c r="X662" s="32" t="s">
        <v>80</v>
      </c>
      <c r="AD662" s="1">
        <v>195022166046</v>
      </c>
      <c r="AN662">
        <v>30</v>
      </c>
      <c r="AO662" t="s">
        <v>81</v>
      </c>
    </row>
    <row r="663" spans="1:41" ht="90" x14ac:dyDescent="0.25">
      <c r="A663" s="2">
        <v>195022165902</v>
      </c>
      <c r="B663" t="s">
        <v>71</v>
      </c>
      <c r="C663" t="s">
        <v>72</v>
      </c>
      <c r="D663" t="s">
        <v>2017</v>
      </c>
      <c r="E663" t="s">
        <v>2018</v>
      </c>
      <c r="F663">
        <v>316210</v>
      </c>
      <c r="G663" s="35" t="s">
        <v>1979</v>
      </c>
      <c r="H663" s="31" t="s">
        <v>2019</v>
      </c>
      <c r="J663" t="s">
        <v>77</v>
      </c>
      <c r="M663">
        <v>150</v>
      </c>
      <c r="P663" t="s">
        <v>78</v>
      </c>
      <c r="Q663" s="55">
        <v>136.36363636363635</v>
      </c>
      <c r="R663" s="32">
        <v>75</v>
      </c>
      <c r="S663" s="33">
        <v>0.33</v>
      </c>
      <c r="T663" s="34">
        <f t="shared" si="21"/>
        <v>111.9402985074627</v>
      </c>
      <c r="U663" s="34">
        <f t="shared" si="22"/>
        <v>113.33955223880598</v>
      </c>
      <c r="V663" t="s">
        <v>79</v>
      </c>
      <c r="W663" s="32">
        <v>15</v>
      </c>
      <c r="X663" s="32" t="s">
        <v>80</v>
      </c>
      <c r="AD663" s="1">
        <v>195022165902</v>
      </c>
      <c r="AN663">
        <v>30</v>
      </c>
      <c r="AO663" t="s">
        <v>81</v>
      </c>
    </row>
    <row r="664" spans="1:41" ht="90" x14ac:dyDescent="0.25">
      <c r="A664" s="2">
        <v>195022166053</v>
      </c>
      <c r="B664" t="s">
        <v>71</v>
      </c>
      <c r="C664" t="s">
        <v>72</v>
      </c>
      <c r="D664" t="s">
        <v>2020</v>
      </c>
      <c r="E664" t="s">
        <v>2021</v>
      </c>
      <c r="F664">
        <v>316210</v>
      </c>
      <c r="G664" s="35" t="s">
        <v>1979</v>
      </c>
      <c r="H664" s="31" t="s">
        <v>2022</v>
      </c>
      <c r="J664" t="s">
        <v>77</v>
      </c>
      <c r="M664">
        <v>150</v>
      </c>
      <c r="P664" t="s">
        <v>78</v>
      </c>
      <c r="Q664" s="55">
        <v>136.36363636363635</v>
      </c>
      <c r="R664" s="32">
        <v>75</v>
      </c>
      <c r="S664" s="33">
        <v>0.33</v>
      </c>
      <c r="T664" s="34">
        <f t="shared" si="21"/>
        <v>111.9402985074627</v>
      </c>
      <c r="U664" s="34">
        <f t="shared" si="22"/>
        <v>113.33955223880598</v>
      </c>
      <c r="V664" t="s">
        <v>79</v>
      </c>
      <c r="W664" s="32">
        <v>15</v>
      </c>
      <c r="X664" s="32" t="s">
        <v>80</v>
      </c>
      <c r="AD664" s="1">
        <v>195022166053</v>
      </c>
      <c r="AN664">
        <v>30</v>
      </c>
      <c r="AO664" t="s">
        <v>81</v>
      </c>
    </row>
    <row r="665" spans="1:41" ht="90" x14ac:dyDescent="0.25">
      <c r="A665" s="2">
        <v>195022165919</v>
      </c>
      <c r="B665" t="s">
        <v>71</v>
      </c>
      <c r="C665" t="s">
        <v>72</v>
      </c>
      <c r="D665" t="s">
        <v>2023</v>
      </c>
      <c r="E665" t="s">
        <v>2024</v>
      </c>
      <c r="F665">
        <v>316210</v>
      </c>
      <c r="G665" s="35" t="s">
        <v>1979</v>
      </c>
      <c r="H665" s="31" t="s">
        <v>2025</v>
      </c>
      <c r="J665" t="s">
        <v>77</v>
      </c>
      <c r="M665">
        <v>150</v>
      </c>
      <c r="P665" t="s">
        <v>78</v>
      </c>
      <c r="Q665" s="55">
        <v>136.36363636363635</v>
      </c>
      <c r="R665" s="32">
        <v>75</v>
      </c>
      <c r="S665" s="33">
        <v>0.33</v>
      </c>
      <c r="T665" s="34">
        <f t="shared" si="21"/>
        <v>111.9402985074627</v>
      </c>
      <c r="U665" s="34">
        <f t="shared" si="22"/>
        <v>113.33955223880598</v>
      </c>
      <c r="V665" t="s">
        <v>79</v>
      </c>
      <c r="W665" s="32">
        <v>15</v>
      </c>
      <c r="X665" s="32" t="s">
        <v>80</v>
      </c>
      <c r="AD665" s="1">
        <v>195022165919</v>
      </c>
      <c r="AN665">
        <v>30</v>
      </c>
      <c r="AO665" t="s">
        <v>81</v>
      </c>
    </row>
    <row r="666" spans="1:41" ht="90" x14ac:dyDescent="0.25">
      <c r="A666" s="2">
        <v>195022166060</v>
      </c>
      <c r="B666" t="s">
        <v>71</v>
      </c>
      <c r="C666" t="s">
        <v>72</v>
      </c>
      <c r="D666" t="s">
        <v>2026</v>
      </c>
      <c r="E666" t="s">
        <v>2027</v>
      </c>
      <c r="F666">
        <v>316210</v>
      </c>
      <c r="G666" s="35" t="s">
        <v>1979</v>
      </c>
      <c r="H666" s="31" t="s">
        <v>2028</v>
      </c>
      <c r="J666" t="s">
        <v>77</v>
      </c>
      <c r="M666">
        <v>150</v>
      </c>
      <c r="P666" t="s">
        <v>78</v>
      </c>
      <c r="Q666" s="55">
        <v>136.36363636363635</v>
      </c>
      <c r="R666" s="32">
        <v>75</v>
      </c>
      <c r="S666" s="33">
        <v>0.33</v>
      </c>
      <c r="T666" s="34">
        <f t="shared" si="21"/>
        <v>111.9402985074627</v>
      </c>
      <c r="U666" s="34">
        <f t="shared" si="22"/>
        <v>113.33955223880598</v>
      </c>
      <c r="V666" t="s">
        <v>79</v>
      </c>
      <c r="W666" s="32">
        <v>15</v>
      </c>
      <c r="X666" s="32" t="s">
        <v>80</v>
      </c>
      <c r="AD666" s="1">
        <v>195022166060</v>
      </c>
      <c r="AN666">
        <v>30</v>
      </c>
      <c r="AO666" t="s">
        <v>81</v>
      </c>
    </row>
    <row r="667" spans="1:41" ht="90" x14ac:dyDescent="0.25">
      <c r="A667" s="2">
        <v>195022165926</v>
      </c>
      <c r="B667" t="s">
        <v>71</v>
      </c>
      <c r="C667" t="s">
        <v>72</v>
      </c>
      <c r="D667" t="s">
        <v>2029</v>
      </c>
      <c r="E667" t="s">
        <v>2030</v>
      </c>
      <c r="F667">
        <v>316210</v>
      </c>
      <c r="G667" s="35" t="s">
        <v>1979</v>
      </c>
      <c r="H667" s="31" t="s">
        <v>2031</v>
      </c>
      <c r="J667" t="s">
        <v>77</v>
      </c>
      <c r="M667">
        <v>150</v>
      </c>
      <c r="P667" t="s">
        <v>78</v>
      </c>
      <c r="Q667" s="55">
        <v>136.36363636363635</v>
      </c>
      <c r="R667" s="32">
        <v>75</v>
      </c>
      <c r="S667" s="33">
        <v>0.33</v>
      </c>
      <c r="T667" s="34">
        <f t="shared" si="21"/>
        <v>111.9402985074627</v>
      </c>
      <c r="U667" s="34">
        <f t="shared" si="22"/>
        <v>113.33955223880598</v>
      </c>
      <c r="V667" t="s">
        <v>79</v>
      </c>
      <c r="W667" s="32">
        <v>15</v>
      </c>
      <c r="X667" s="32" t="s">
        <v>80</v>
      </c>
      <c r="AD667" s="1">
        <v>195022165926</v>
      </c>
      <c r="AN667">
        <v>30</v>
      </c>
      <c r="AO667" t="s">
        <v>81</v>
      </c>
    </row>
    <row r="668" spans="1:41" ht="90" x14ac:dyDescent="0.25">
      <c r="A668" s="2">
        <v>195022166077</v>
      </c>
      <c r="B668" t="s">
        <v>71</v>
      </c>
      <c r="C668" t="s">
        <v>72</v>
      </c>
      <c r="D668" t="s">
        <v>2032</v>
      </c>
      <c r="E668" t="s">
        <v>2033</v>
      </c>
      <c r="F668">
        <v>316210</v>
      </c>
      <c r="G668" s="35" t="s">
        <v>1979</v>
      </c>
      <c r="H668" s="31" t="s">
        <v>2034</v>
      </c>
      <c r="J668" t="s">
        <v>77</v>
      </c>
      <c r="M668">
        <v>150</v>
      </c>
      <c r="P668" t="s">
        <v>78</v>
      </c>
      <c r="Q668" s="55">
        <v>136.36363636363635</v>
      </c>
      <c r="R668" s="32">
        <v>75</v>
      </c>
      <c r="S668" s="33">
        <v>0.33</v>
      </c>
      <c r="T668" s="34">
        <f t="shared" si="21"/>
        <v>111.9402985074627</v>
      </c>
      <c r="U668" s="34">
        <f t="shared" si="22"/>
        <v>113.33955223880598</v>
      </c>
      <c r="V668" t="s">
        <v>79</v>
      </c>
      <c r="W668" s="32">
        <v>15</v>
      </c>
      <c r="X668" s="32" t="s">
        <v>80</v>
      </c>
      <c r="AD668" s="1">
        <v>195022166077</v>
      </c>
      <c r="AN668">
        <v>30</v>
      </c>
      <c r="AO668" t="s">
        <v>81</v>
      </c>
    </row>
    <row r="669" spans="1:41" ht="90" x14ac:dyDescent="0.25">
      <c r="A669" s="2">
        <v>195022165933</v>
      </c>
      <c r="B669" t="s">
        <v>71</v>
      </c>
      <c r="C669" t="s">
        <v>72</v>
      </c>
      <c r="D669" t="s">
        <v>2035</v>
      </c>
      <c r="E669" t="s">
        <v>2036</v>
      </c>
      <c r="F669">
        <v>316210</v>
      </c>
      <c r="G669" s="35" t="s">
        <v>1979</v>
      </c>
      <c r="H669" s="31" t="s">
        <v>2037</v>
      </c>
      <c r="J669" t="s">
        <v>77</v>
      </c>
      <c r="M669">
        <v>150</v>
      </c>
      <c r="P669" t="s">
        <v>78</v>
      </c>
      <c r="Q669" s="55">
        <v>136.36363636363635</v>
      </c>
      <c r="R669" s="32">
        <v>75</v>
      </c>
      <c r="S669" s="33">
        <v>0.33</v>
      </c>
      <c r="T669" s="34">
        <f t="shared" si="21"/>
        <v>111.9402985074627</v>
      </c>
      <c r="U669" s="34">
        <f t="shared" si="22"/>
        <v>113.33955223880598</v>
      </c>
      <c r="V669" t="s">
        <v>79</v>
      </c>
      <c r="W669" s="32">
        <v>15</v>
      </c>
      <c r="X669" s="32" t="s">
        <v>80</v>
      </c>
      <c r="AD669" s="1">
        <v>195022165933</v>
      </c>
      <c r="AN669">
        <v>30</v>
      </c>
      <c r="AO669" t="s">
        <v>81</v>
      </c>
    </row>
    <row r="670" spans="1:41" ht="90" x14ac:dyDescent="0.25">
      <c r="A670" s="2">
        <v>195022166084</v>
      </c>
      <c r="B670" t="s">
        <v>71</v>
      </c>
      <c r="C670" t="s">
        <v>72</v>
      </c>
      <c r="D670" t="s">
        <v>2038</v>
      </c>
      <c r="E670" t="s">
        <v>2039</v>
      </c>
      <c r="F670">
        <v>316210</v>
      </c>
      <c r="G670" s="35" t="s">
        <v>1979</v>
      </c>
      <c r="H670" s="31" t="s">
        <v>2040</v>
      </c>
      <c r="J670" t="s">
        <v>77</v>
      </c>
      <c r="M670">
        <v>150</v>
      </c>
      <c r="P670" t="s">
        <v>78</v>
      </c>
      <c r="Q670" s="55">
        <v>136.36363636363635</v>
      </c>
      <c r="R670" s="32">
        <v>75</v>
      </c>
      <c r="S670" s="33">
        <v>0.33</v>
      </c>
      <c r="T670" s="34">
        <f t="shared" si="21"/>
        <v>111.9402985074627</v>
      </c>
      <c r="U670" s="34">
        <f t="shared" si="22"/>
        <v>113.33955223880598</v>
      </c>
      <c r="V670" t="s">
        <v>79</v>
      </c>
      <c r="W670" s="32">
        <v>15</v>
      </c>
      <c r="X670" s="32" t="s">
        <v>80</v>
      </c>
      <c r="AD670" s="1">
        <v>195022166084</v>
      </c>
      <c r="AN670">
        <v>30</v>
      </c>
      <c r="AO670" t="s">
        <v>81</v>
      </c>
    </row>
    <row r="671" spans="1:41" ht="90" x14ac:dyDescent="0.25">
      <c r="A671" s="2">
        <v>195022165940</v>
      </c>
      <c r="B671" t="s">
        <v>71</v>
      </c>
      <c r="C671" t="s">
        <v>72</v>
      </c>
      <c r="D671" t="s">
        <v>2041</v>
      </c>
      <c r="E671" t="s">
        <v>2042</v>
      </c>
      <c r="F671">
        <v>316210</v>
      </c>
      <c r="G671" s="35" t="s">
        <v>1979</v>
      </c>
      <c r="H671" s="31" t="s">
        <v>2043</v>
      </c>
      <c r="J671" t="s">
        <v>77</v>
      </c>
      <c r="M671">
        <v>150</v>
      </c>
      <c r="P671" t="s">
        <v>78</v>
      </c>
      <c r="Q671" s="55">
        <v>136.36363636363635</v>
      </c>
      <c r="R671" s="32">
        <v>75</v>
      </c>
      <c r="S671" s="33">
        <v>0.33</v>
      </c>
      <c r="T671" s="34">
        <f t="shared" si="21"/>
        <v>111.9402985074627</v>
      </c>
      <c r="U671" s="34">
        <f t="shared" si="22"/>
        <v>113.33955223880598</v>
      </c>
      <c r="V671" t="s">
        <v>79</v>
      </c>
      <c r="W671" s="32">
        <v>15</v>
      </c>
      <c r="X671" s="32" t="s">
        <v>80</v>
      </c>
      <c r="AD671" s="1">
        <v>195022165940</v>
      </c>
      <c r="AN671">
        <v>30</v>
      </c>
      <c r="AO671" t="s">
        <v>81</v>
      </c>
    </row>
    <row r="672" spans="1:41" ht="90" x14ac:dyDescent="0.25">
      <c r="A672" s="2">
        <v>195022166091</v>
      </c>
      <c r="B672" t="s">
        <v>71</v>
      </c>
      <c r="C672" t="s">
        <v>72</v>
      </c>
      <c r="D672" t="s">
        <v>2044</v>
      </c>
      <c r="E672" t="s">
        <v>2045</v>
      </c>
      <c r="F672">
        <v>316210</v>
      </c>
      <c r="G672" s="35" t="s">
        <v>1979</v>
      </c>
      <c r="H672" s="31" t="s">
        <v>2046</v>
      </c>
      <c r="J672" t="s">
        <v>77</v>
      </c>
      <c r="M672">
        <v>150</v>
      </c>
      <c r="P672" t="s">
        <v>78</v>
      </c>
      <c r="Q672" s="55">
        <v>136.36363636363635</v>
      </c>
      <c r="R672" s="32">
        <v>75</v>
      </c>
      <c r="S672" s="33">
        <v>0.33</v>
      </c>
      <c r="T672" s="34">
        <f t="shared" si="21"/>
        <v>111.9402985074627</v>
      </c>
      <c r="U672" s="34">
        <f t="shared" si="22"/>
        <v>113.33955223880598</v>
      </c>
      <c r="V672" t="s">
        <v>79</v>
      </c>
      <c r="W672" s="32">
        <v>15</v>
      </c>
      <c r="X672" s="32" t="s">
        <v>80</v>
      </c>
      <c r="AD672" s="1">
        <v>195022166091</v>
      </c>
      <c r="AN672">
        <v>30</v>
      </c>
      <c r="AO672" t="s">
        <v>81</v>
      </c>
    </row>
    <row r="673" spans="1:41" ht="90" x14ac:dyDescent="0.25">
      <c r="A673" s="2">
        <v>195022165957</v>
      </c>
      <c r="B673" t="s">
        <v>71</v>
      </c>
      <c r="C673" t="s">
        <v>72</v>
      </c>
      <c r="D673" t="s">
        <v>2047</v>
      </c>
      <c r="E673" t="s">
        <v>2048</v>
      </c>
      <c r="F673">
        <v>316210</v>
      </c>
      <c r="G673" s="35" t="s">
        <v>1979</v>
      </c>
      <c r="H673" s="31" t="s">
        <v>2049</v>
      </c>
      <c r="J673" t="s">
        <v>77</v>
      </c>
      <c r="M673">
        <v>150</v>
      </c>
      <c r="P673" t="s">
        <v>78</v>
      </c>
      <c r="Q673" s="55">
        <v>136.36363636363635</v>
      </c>
      <c r="R673" s="32">
        <v>75</v>
      </c>
      <c r="S673" s="33">
        <v>0.33</v>
      </c>
      <c r="T673" s="34">
        <f t="shared" si="21"/>
        <v>111.9402985074627</v>
      </c>
      <c r="U673" s="34">
        <f t="shared" si="22"/>
        <v>113.33955223880598</v>
      </c>
      <c r="V673" t="s">
        <v>79</v>
      </c>
      <c r="W673" s="32">
        <v>15</v>
      </c>
      <c r="X673" s="32" t="s">
        <v>80</v>
      </c>
      <c r="AD673" s="1">
        <v>195022165957</v>
      </c>
      <c r="AN673">
        <v>30</v>
      </c>
      <c r="AO673" t="s">
        <v>81</v>
      </c>
    </row>
    <row r="674" spans="1:41" ht="90" x14ac:dyDescent="0.25">
      <c r="A674" s="2">
        <v>195022166107</v>
      </c>
      <c r="B674" t="s">
        <v>71</v>
      </c>
      <c r="C674" t="s">
        <v>72</v>
      </c>
      <c r="D674" t="s">
        <v>2050</v>
      </c>
      <c r="E674" t="s">
        <v>2051</v>
      </c>
      <c r="F674">
        <v>316210</v>
      </c>
      <c r="G674" s="35" t="s">
        <v>1979</v>
      </c>
      <c r="H674" s="31" t="s">
        <v>2052</v>
      </c>
      <c r="J674" t="s">
        <v>77</v>
      </c>
      <c r="M674">
        <v>150</v>
      </c>
      <c r="P674" t="s">
        <v>78</v>
      </c>
      <c r="Q674" s="55">
        <v>136.36363636363635</v>
      </c>
      <c r="R674" s="32">
        <v>75</v>
      </c>
      <c r="S674" s="33">
        <v>0.33</v>
      </c>
      <c r="T674" s="34">
        <f t="shared" si="21"/>
        <v>111.9402985074627</v>
      </c>
      <c r="U674" s="34">
        <f t="shared" si="22"/>
        <v>113.33955223880598</v>
      </c>
      <c r="V674" t="s">
        <v>79</v>
      </c>
      <c r="W674" s="32">
        <v>15</v>
      </c>
      <c r="X674" s="32" t="s">
        <v>80</v>
      </c>
      <c r="AD674" s="1">
        <v>195022166107</v>
      </c>
      <c r="AN674">
        <v>30</v>
      </c>
      <c r="AO674" t="s">
        <v>81</v>
      </c>
    </row>
    <row r="675" spans="1:41" ht="90" x14ac:dyDescent="0.25">
      <c r="A675" s="2">
        <v>195022165964</v>
      </c>
      <c r="B675" t="s">
        <v>71</v>
      </c>
      <c r="C675" t="s">
        <v>72</v>
      </c>
      <c r="D675" t="s">
        <v>2053</v>
      </c>
      <c r="E675" t="s">
        <v>2054</v>
      </c>
      <c r="F675">
        <v>316210</v>
      </c>
      <c r="G675" s="35" t="s">
        <v>1979</v>
      </c>
      <c r="H675" s="31" t="s">
        <v>2055</v>
      </c>
      <c r="J675" t="s">
        <v>77</v>
      </c>
      <c r="M675">
        <v>150</v>
      </c>
      <c r="P675" t="s">
        <v>78</v>
      </c>
      <c r="Q675" s="55">
        <v>136.36363636363635</v>
      </c>
      <c r="R675" s="32">
        <v>75</v>
      </c>
      <c r="S675" s="33">
        <v>0.33</v>
      </c>
      <c r="T675" s="34">
        <f t="shared" si="21"/>
        <v>111.9402985074627</v>
      </c>
      <c r="U675" s="34">
        <f t="shared" si="22"/>
        <v>113.33955223880598</v>
      </c>
      <c r="V675" t="s">
        <v>79</v>
      </c>
      <c r="W675" s="32">
        <v>15</v>
      </c>
      <c r="X675" s="32" t="s">
        <v>80</v>
      </c>
      <c r="AD675" s="1">
        <v>195022165964</v>
      </c>
      <c r="AN675">
        <v>30</v>
      </c>
      <c r="AO675" t="s">
        <v>81</v>
      </c>
    </row>
    <row r="676" spans="1:41" ht="90" x14ac:dyDescent="0.25">
      <c r="A676" s="2">
        <v>195022166114</v>
      </c>
      <c r="B676" t="s">
        <v>71</v>
      </c>
      <c r="C676" t="s">
        <v>72</v>
      </c>
      <c r="D676" t="s">
        <v>2056</v>
      </c>
      <c r="E676" t="s">
        <v>2057</v>
      </c>
      <c r="F676">
        <v>316210</v>
      </c>
      <c r="G676" s="35" t="s">
        <v>1979</v>
      </c>
      <c r="H676" s="31" t="s">
        <v>2058</v>
      </c>
      <c r="J676" t="s">
        <v>77</v>
      </c>
      <c r="M676">
        <v>150</v>
      </c>
      <c r="P676" t="s">
        <v>78</v>
      </c>
      <c r="Q676" s="55">
        <v>136.36363636363635</v>
      </c>
      <c r="R676" s="32">
        <v>75</v>
      </c>
      <c r="S676" s="33">
        <v>0.33</v>
      </c>
      <c r="T676" s="34">
        <f t="shared" si="21"/>
        <v>111.9402985074627</v>
      </c>
      <c r="U676" s="34">
        <f t="shared" si="22"/>
        <v>113.33955223880598</v>
      </c>
      <c r="V676" t="s">
        <v>79</v>
      </c>
      <c r="W676" s="32">
        <v>15</v>
      </c>
      <c r="X676" s="32" t="s">
        <v>80</v>
      </c>
      <c r="AD676" s="1">
        <v>195022166114</v>
      </c>
      <c r="AN676">
        <v>30</v>
      </c>
      <c r="AO676" t="s">
        <v>81</v>
      </c>
    </row>
    <row r="677" spans="1:41" ht="90" x14ac:dyDescent="0.25">
      <c r="A677" s="2">
        <v>195022165971</v>
      </c>
      <c r="B677" t="s">
        <v>71</v>
      </c>
      <c r="C677" t="s">
        <v>72</v>
      </c>
      <c r="D677" t="s">
        <v>2059</v>
      </c>
      <c r="E677" t="s">
        <v>2060</v>
      </c>
      <c r="F677">
        <v>316210</v>
      </c>
      <c r="G677" s="35" t="s">
        <v>1979</v>
      </c>
      <c r="H677" s="31" t="s">
        <v>2061</v>
      </c>
      <c r="J677" t="s">
        <v>77</v>
      </c>
      <c r="M677">
        <v>150</v>
      </c>
      <c r="P677" t="s">
        <v>78</v>
      </c>
      <c r="Q677" s="55">
        <v>136.36363636363635</v>
      </c>
      <c r="R677" s="32">
        <v>75</v>
      </c>
      <c r="S677" s="33">
        <v>0.33</v>
      </c>
      <c r="T677" s="34">
        <f t="shared" si="21"/>
        <v>111.9402985074627</v>
      </c>
      <c r="U677" s="34">
        <f t="shared" si="22"/>
        <v>113.33955223880598</v>
      </c>
      <c r="V677" t="s">
        <v>79</v>
      </c>
      <c r="W677" s="32">
        <v>15</v>
      </c>
      <c r="X677" s="32" t="s">
        <v>80</v>
      </c>
      <c r="AD677" s="1">
        <v>195022165971</v>
      </c>
      <c r="AN677">
        <v>30</v>
      </c>
      <c r="AO677" t="s">
        <v>81</v>
      </c>
    </row>
    <row r="678" spans="1:41" ht="90" x14ac:dyDescent="0.25">
      <c r="A678" s="2">
        <v>195018759658</v>
      </c>
      <c r="B678" t="s">
        <v>71</v>
      </c>
      <c r="C678" t="s">
        <v>72</v>
      </c>
      <c r="D678" t="s">
        <v>2062</v>
      </c>
      <c r="E678" t="s">
        <v>2063</v>
      </c>
      <c r="F678">
        <v>316210</v>
      </c>
      <c r="G678" s="35" t="s">
        <v>2064</v>
      </c>
      <c r="H678" s="31" t="s">
        <v>2065</v>
      </c>
      <c r="J678" t="s">
        <v>77</v>
      </c>
      <c r="M678">
        <v>180</v>
      </c>
      <c r="P678" t="s">
        <v>78</v>
      </c>
      <c r="Q678" s="55">
        <v>165.45454545454544</v>
      </c>
      <c r="R678" s="32">
        <v>91</v>
      </c>
      <c r="S678" s="33">
        <v>0.33</v>
      </c>
      <c r="T678" s="34">
        <f t="shared" si="21"/>
        <v>135.82089552238807</v>
      </c>
      <c r="U678" s="34">
        <f t="shared" si="22"/>
        <v>137.51865671641792</v>
      </c>
      <c r="V678" t="s">
        <v>79</v>
      </c>
      <c r="W678" s="32">
        <v>15</v>
      </c>
      <c r="X678" s="32" t="s">
        <v>80</v>
      </c>
      <c r="AD678" s="1">
        <v>195018759658</v>
      </c>
      <c r="AN678">
        <v>30</v>
      </c>
      <c r="AO678" t="s">
        <v>81</v>
      </c>
    </row>
    <row r="679" spans="1:41" ht="90" x14ac:dyDescent="0.25">
      <c r="A679" s="2">
        <v>195018759511</v>
      </c>
      <c r="B679" t="s">
        <v>71</v>
      </c>
      <c r="C679" t="s">
        <v>72</v>
      </c>
      <c r="D679" t="s">
        <v>2066</v>
      </c>
      <c r="E679" t="s">
        <v>2067</v>
      </c>
      <c r="F679">
        <v>316210</v>
      </c>
      <c r="G679" s="35" t="s">
        <v>2064</v>
      </c>
      <c r="H679" s="31" t="s">
        <v>2068</v>
      </c>
      <c r="J679" t="s">
        <v>77</v>
      </c>
      <c r="M679">
        <v>180</v>
      </c>
      <c r="P679" t="s">
        <v>78</v>
      </c>
      <c r="Q679" s="55">
        <v>165.45454545454544</v>
      </c>
      <c r="R679" s="32">
        <v>91</v>
      </c>
      <c r="S679" s="33">
        <v>0.33</v>
      </c>
      <c r="T679" s="34">
        <f t="shared" si="21"/>
        <v>135.82089552238807</v>
      </c>
      <c r="U679" s="34">
        <f t="shared" si="22"/>
        <v>137.51865671641792</v>
      </c>
      <c r="V679" t="s">
        <v>79</v>
      </c>
      <c r="W679" s="32">
        <v>15</v>
      </c>
      <c r="X679" s="32" t="s">
        <v>80</v>
      </c>
      <c r="AD679" s="1">
        <v>195018759511</v>
      </c>
      <c r="AN679">
        <v>30</v>
      </c>
      <c r="AO679" t="s">
        <v>81</v>
      </c>
    </row>
    <row r="680" spans="1:41" ht="90" x14ac:dyDescent="0.25">
      <c r="A680" s="2">
        <v>195018759665</v>
      </c>
      <c r="B680" t="s">
        <v>71</v>
      </c>
      <c r="C680" t="s">
        <v>72</v>
      </c>
      <c r="D680" t="s">
        <v>2069</v>
      </c>
      <c r="E680" t="s">
        <v>2070</v>
      </c>
      <c r="F680">
        <v>316210</v>
      </c>
      <c r="G680" s="35" t="s">
        <v>2064</v>
      </c>
      <c r="H680" s="31" t="s">
        <v>2071</v>
      </c>
      <c r="J680" t="s">
        <v>77</v>
      </c>
      <c r="M680">
        <v>180</v>
      </c>
      <c r="P680" t="s">
        <v>78</v>
      </c>
      <c r="Q680" s="55">
        <v>165.45454545454544</v>
      </c>
      <c r="R680" s="32">
        <v>91</v>
      </c>
      <c r="S680" s="33">
        <v>0.33</v>
      </c>
      <c r="T680" s="34">
        <f t="shared" si="21"/>
        <v>135.82089552238807</v>
      </c>
      <c r="U680" s="34">
        <f t="shared" si="22"/>
        <v>137.51865671641792</v>
      </c>
      <c r="V680" t="s">
        <v>79</v>
      </c>
      <c r="W680" s="32">
        <v>15</v>
      </c>
      <c r="X680" s="32" t="s">
        <v>80</v>
      </c>
      <c r="AD680" s="1">
        <v>195018759665</v>
      </c>
      <c r="AN680">
        <v>30</v>
      </c>
      <c r="AO680" t="s">
        <v>81</v>
      </c>
    </row>
    <row r="681" spans="1:41" ht="90" x14ac:dyDescent="0.25">
      <c r="A681" s="2">
        <v>195018759528</v>
      </c>
      <c r="B681" t="s">
        <v>71</v>
      </c>
      <c r="C681" t="s">
        <v>72</v>
      </c>
      <c r="D681" t="s">
        <v>2072</v>
      </c>
      <c r="E681" t="s">
        <v>2073</v>
      </c>
      <c r="F681">
        <v>316210</v>
      </c>
      <c r="G681" s="35" t="s">
        <v>2064</v>
      </c>
      <c r="H681" s="31" t="s">
        <v>2074</v>
      </c>
      <c r="J681" t="s">
        <v>77</v>
      </c>
      <c r="M681">
        <v>180</v>
      </c>
      <c r="P681" t="s">
        <v>78</v>
      </c>
      <c r="Q681" s="55">
        <v>165.45454545454544</v>
      </c>
      <c r="R681" s="32">
        <v>91</v>
      </c>
      <c r="S681" s="33">
        <v>0.33</v>
      </c>
      <c r="T681" s="34">
        <f t="shared" si="21"/>
        <v>135.82089552238807</v>
      </c>
      <c r="U681" s="34">
        <f t="shared" si="22"/>
        <v>137.51865671641792</v>
      </c>
      <c r="V681" t="s">
        <v>79</v>
      </c>
      <c r="W681" s="32">
        <v>15</v>
      </c>
      <c r="X681" s="32" t="s">
        <v>80</v>
      </c>
      <c r="AD681" s="1">
        <v>195018759528</v>
      </c>
      <c r="AN681">
        <v>30</v>
      </c>
      <c r="AO681" t="s">
        <v>81</v>
      </c>
    </row>
    <row r="682" spans="1:41" ht="90" x14ac:dyDescent="0.25">
      <c r="A682" s="2">
        <v>195018759672</v>
      </c>
      <c r="B682" t="s">
        <v>71</v>
      </c>
      <c r="C682" t="s">
        <v>72</v>
      </c>
      <c r="D682" t="s">
        <v>2075</v>
      </c>
      <c r="E682" t="s">
        <v>2076</v>
      </c>
      <c r="F682">
        <v>316210</v>
      </c>
      <c r="G682" s="35" t="s">
        <v>2064</v>
      </c>
      <c r="H682" s="31" t="s">
        <v>2077</v>
      </c>
      <c r="J682" t="s">
        <v>77</v>
      </c>
      <c r="M682">
        <v>180</v>
      </c>
      <c r="P682" t="s">
        <v>78</v>
      </c>
      <c r="Q682" s="55">
        <v>165.45454545454544</v>
      </c>
      <c r="R682" s="32">
        <v>91</v>
      </c>
      <c r="S682" s="33">
        <v>0.33</v>
      </c>
      <c r="T682" s="34">
        <f t="shared" si="21"/>
        <v>135.82089552238807</v>
      </c>
      <c r="U682" s="34">
        <f t="shared" si="22"/>
        <v>137.51865671641792</v>
      </c>
      <c r="V682" t="s">
        <v>79</v>
      </c>
      <c r="W682" s="32">
        <v>15</v>
      </c>
      <c r="X682" s="32" t="s">
        <v>80</v>
      </c>
      <c r="AD682" s="1">
        <v>195018759672</v>
      </c>
      <c r="AN682">
        <v>30</v>
      </c>
      <c r="AO682" t="s">
        <v>81</v>
      </c>
    </row>
    <row r="683" spans="1:41" ht="90" x14ac:dyDescent="0.25">
      <c r="A683" s="2">
        <v>195018759535</v>
      </c>
      <c r="B683" t="s">
        <v>71</v>
      </c>
      <c r="C683" t="s">
        <v>72</v>
      </c>
      <c r="D683" t="s">
        <v>2078</v>
      </c>
      <c r="E683" t="s">
        <v>2079</v>
      </c>
      <c r="F683">
        <v>316210</v>
      </c>
      <c r="G683" s="35" t="s">
        <v>2064</v>
      </c>
      <c r="H683" s="31" t="s">
        <v>2080</v>
      </c>
      <c r="J683" t="s">
        <v>77</v>
      </c>
      <c r="M683">
        <v>180</v>
      </c>
      <c r="P683" t="s">
        <v>78</v>
      </c>
      <c r="Q683" s="55">
        <v>165.45454545454544</v>
      </c>
      <c r="R683" s="32">
        <v>91</v>
      </c>
      <c r="S683" s="33">
        <v>0.33</v>
      </c>
      <c r="T683" s="34">
        <f t="shared" si="21"/>
        <v>135.82089552238807</v>
      </c>
      <c r="U683" s="34">
        <f t="shared" si="22"/>
        <v>137.51865671641792</v>
      </c>
      <c r="V683" t="s">
        <v>79</v>
      </c>
      <c r="W683" s="32">
        <v>15</v>
      </c>
      <c r="X683" s="32" t="s">
        <v>80</v>
      </c>
      <c r="AD683" s="1">
        <v>195018759535</v>
      </c>
      <c r="AN683">
        <v>30</v>
      </c>
      <c r="AO683" t="s">
        <v>81</v>
      </c>
    </row>
    <row r="684" spans="1:41" ht="90" x14ac:dyDescent="0.25">
      <c r="A684" s="2">
        <v>195018759689</v>
      </c>
      <c r="B684" t="s">
        <v>71</v>
      </c>
      <c r="C684" t="s">
        <v>72</v>
      </c>
      <c r="D684" t="s">
        <v>2081</v>
      </c>
      <c r="E684" t="s">
        <v>2082</v>
      </c>
      <c r="F684">
        <v>316210</v>
      </c>
      <c r="G684" s="35" t="s">
        <v>2064</v>
      </c>
      <c r="H684" s="31" t="s">
        <v>2083</v>
      </c>
      <c r="J684" t="s">
        <v>77</v>
      </c>
      <c r="M684">
        <v>180</v>
      </c>
      <c r="P684" t="s">
        <v>78</v>
      </c>
      <c r="Q684" s="55">
        <v>165.45454545454544</v>
      </c>
      <c r="R684" s="32">
        <v>91</v>
      </c>
      <c r="S684" s="33">
        <v>0.33</v>
      </c>
      <c r="T684" s="34">
        <f t="shared" si="21"/>
        <v>135.82089552238807</v>
      </c>
      <c r="U684" s="34">
        <f t="shared" si="22"/>
        <v>137.51865671641792</v>
      </c>
      <c r="V684" t="s">
        <v>79</v>
      </c>
      <c r="W684" s="32">
        <v>15</v>
      </c>
      <c r="X684" s="32" t="s">
        <v>80</v>
      </c>
      <c r="AD684" s="1">
        <v>195018759689</v>
      </c>
      <c r="AN684">
        <v>30</v>
      </c>
      <c r="AO684" t="s">
        <v>81</v>
      </c>
    </row>
    <row r="685" spans="1:41" ht="90" x14ac:dyDescent="0.25">
      <c r="A685" s="2">
        <v>195018759542</v>
      </c>
      <c r="B685" t="s">
        <v>71</v>
      </c>
      <c r="C685" t="s">
        <v>72</v>
      </c>
      <c r="D685" t="s">
        <v>2084</v>
      </c>
      <c r="E685" t="s">
        <v>2085</v>
      </c>
      <c r="F685">
        <v>316210</v>
      </c>
      <c r="G685" s="35" t="s">
        <v>2064</v>
      </c>
      <c r="H685" s="31" t="s">
        <v>2086</v>
      </c>
      <c r="J685" t="s">
        <v>77</v>
      </c>
      <c r="M685">
        <v>180</v>
      </c>
      <c r="P685" t="s">
        <v>78</v>
      </c>
      <c r="Q685" s="55">
        <v>165.45454545454544</v>
      </c>
      <c r="R685" s="32">
        <v>91</v>
      </c>
      <c r="S685" s="33">
        <v>0.33</v>
      </c>
      <c r="T685" s="34">
        <f t="shared" si="21"/>
        <v>135.82089552238807</v>
      </c>
      <c r="U685" s="34">
        <f t="shared" si="22"/>
        <v>137.51865671641792</v>
      </c>
      <c r="V685" t="s">
        <v>79</v>
      </c>
      <c r="W685" s="32">
        <v>15</v>
      </c>
      <c r="X685" s="32" t="s">
        <v>80</v>
      </c>
      <c r="AD685" s="1">
        <v>195018759542</v>
      </c>
      <c r="AN685">
        <v>30</v>
      </c>
      <c r="AO685" t="s">
        <v>81</v>
      </c>
    </row>
    <row r="686" spans="1:41" ht="90" x14ac:dyDescent="0.25">
      <c r="A686" s="2">
        <v>195018759696</v>
      </c>
      <c r="B686" t="s">
        <v>71</v>
      </c>
      <c r="C686" t="s">
        <v>72</v>
      </c>
      <c r="D686" t="s">
        <v>2087</v>
      </c>
      <c r="E686" t="s">
        <v>2088</v>
      </c>
      <c r="F686">
        <v>316210</v>
      </c>
      <c r="G686" s="35" t="s">
        <v>2064</v>
      </c>
      <c r="H686" s="31" t="s">
        <v>2089</v>
      </c>
      <c r="J686" t="s">
        <v>77</v>
      </c>
      <c r="M686">
        <v>180</v>
      </c>
      <c r="P686" t="s">
        <v>78</v>
      </c>
      <c r="Q686" s="55">
        <v>165.45454545454544</v>
      </c>
      <c r="R686" s="32">
        <v>91</v>
      </c>
      <c r="S686" s="33">
        <v>0.33</v>
      </c>
      <c r="T686" s="34">
        <f t="shared" si="21"/>
        <v>135.82089552238807</v>
      </c>
      <c r="U686" s="34">
        <f t="shared" si="22"/>
        <v>137.51865671641792</v>
      </c>
      <c r="V686" t="s">
        <v>79</v>
      </c>
      <c r="W686" s="32">
        <v>15</v>
      </c>
      <c r="X686" s="32" t="s">
        <v>80</v>
      </c>
      <c r="AD686" s="1">
        <v>195018759696</v>
      </c>
      <c r="AN686">
        <v>30</v>
      </c>
      <c r="AO686" t="s">
        <v>81</v>
      </c>
    </row>
    <row r="687" spans="1:41" ht="90" x14ac:dyDescent="0.25">
      <c r="A687" s="2">
        <v>195018759559</v>
      </c>
      <c r="B687" t="s">
        <v>71</v>
      </c>
      <c r="C687" t="s">
        <v>72</v>
      </c>
      <c r="D687" t="s">
        <v>2090</v>
      </c>
      <c r="E687" t="s">
        <v>2091</v>
      </c>
      <c r="F687">
        <v>316210</v>
      </c>
      <c r="G687" s="35" t="s">
        <v>2064</v>
      </c>
      <c r="H687" s="31" t="s">
        <v>2092</v>
      </c>
      <c r="J687" t="s">
        <v>77</v>
      </c>
      <c r="M687">
        <v>180</v>
      </c>
      <c r="P687" t="s">
        <v>78</v>
      </c>
      <c r="Q687" s="55">
        <v>165.45454545454544</v>
      </c>
      <c r="R687" s="32">
        <v>91</v>
      </c>
      <c r="S687" s="33">
        <v>0.33</v>
      </c>
      <c r="T687" s="34">
        <f t="shared" si="21"/>
        <v>135.82089552238807</v>
      </c>
      <c r="U687" s="34">
        <f t="shared" si="22"/>
        <v>137.51865671641792</v>
      </c>
      <c r="V687" t="s">
        <v>79</v>
      </c>
      <c r="W687" s="32">
        <v>15</v>
      </c>
      <c r="X687" s="32" t="s">
        <v>80</v>
      </c>
      <c r="AD687" s="1">
        <v>195018759559</v>
      </c>
      <c r="AN687">
        <v>30</v>
      </c>
      <c r="AO687" t="s">
        <v>81</v>
      </c>
    </row>
    <row r="688" spans="1:41" ht="90" x14ac:dyDescent="0.25">
      <c r="A688" s="2">
        <v>195018759702</v>
      </c>
      <c r="B688" t="s">
        <v>71</v>
      </c>
      <c r="C688" t="s">
        <v>72</v>
      </c>
      <c r="D688" t="s">
        <v>2093</v>
      </c>
      <c r="E688" t="s">
        <v>2094</v>
      </c>
      <c r="F688">
        <v>316210</v>
      </c>
      <c r="G688" s="35" t="s">
        <v>2064</v>
      </c>
      <c r="H688" s="31" t="s">
        <v>2095</v>
      </c>
      <c r="J688" t="s">
        <v>77</v>
      </c>
      <c r="M688">
        <v>180</v>
      </c>
      <c r="P688" t="s">
        <v>78</v>
      </c>
      <c r="Q688" s="55">
        <v>165.45454545454544</v>
      </c>
      <c r="R688" s="32">
        <v>91</v>
      </c>
      <c r="S688" s="33">
        <v>0.33</v>
      </c>
      <c r="T688" s="34">
        <f t="shared" si="21"/>
        <v>135.82089552238807</v>
      </c>
      <c r="U688" s="34">
        <f t="shared" si="22"/>
        <v>137.51865671641792</v>
      </c>
      <c r="V688" t="s">
        <v>79</v>
      </c>
      <c r="W688" s="32">
        <v>15</v>
      </c>
      <c r="X688" s="32" t="s">
        <v>80</v>
      </c>
      <c r="AD688" s="1">
        <v>195018759702</v>
      </c>
      <c r="AN688">
        <v>30</v>
      </c>
      <c r="AO688" t="s">
        <v>81</v>
      </c>
    </row>
    <row r="689" spans="1:41" ht="90" x14ac:dyDescent="0.25">
      <c r="A689" s="2">
        <v>195018759566</v>
      </c>
      <c r="B689" t="s">
        <v>71</v>
      </c>
      <c r="C689" t="s">
        <v>72</v>
      </c>
      <c r="D689" t="s">
        <v>2096</v>
      </c>
      <c r="E689" t="s">
        <v>2097</v>
      </c>
      <c r="F689">
        <v>316210</v>
      </c>
      <c r="G689" s="35" t="s">
        <v>2064</v>
      </c>
      <c r="H689" s="31" t="s">
        <v>2098</v>
      </c>
      <c r="J689" t="s">
        <v>77</v>
      </c>
      <c r="M689">
        <v>180</v>
      </c>
      <c r="P689" t="s">
        <v>78</v>
      </c>
      <c r="Q689" s="55">
        <v>165.45454545454544</v>
      </c>
      <c r="R689" s="32">
        <v>91</v>
      </c>
      <c r="S689" s="33">
        <v>0.33</v>
      </c>
      <c r="T689" s="34">
        <f t="shared" si="21"/>
        <v>135.82089552238807</v>
      </c>
      <c r="U689" s="34">
        <f t="shared" si="22"/>
        <v>137.51865671641792</v>
      </c>
      <c r="V689" t="s">
        <v>79</v>
      </c>
      <c r="W689" s="32">
        <v>15</v>
      </c>
      <c r="X689" s="32" t="s">
        <v>80</v>
      </c>
      <c r="AD689" s="1">
        <v>195018759566</v>
      </c>
      <c r="AN689">
        <v>30</v>
      </c>
      <c r="AO689" t="s">
        <v>81</v>
      </c>
    </row>
    <row r="690" spans="1:41" ht="90" x14ac:dyDescent="0.25">
      <c r="A690" s="2">
        <v>195018759719</v>
      </c>
      <c r="B690" t="s">
        <v>71</v>
      </c>
      <c r="C690" t="s">
        <v>72</v>
      </c>
      <c r="D690" t="s">
        <v>2099</v>
      </c>
      <c r="E690" t="s">
        <v>2100</v>
      </c>
      <c r="F690">
        <v>316210</v>
      </c>
      <c r="G690" s="35" t="s">
        <v>2064</v>
      </c>
      <c r="H690" s="31" t="s">
        <v>2101</v>
      </c>
      <c r="J690" t="s">
        <v>77</v>
      </c>
      <c r="M690">
        <v>180</v>
      </c>
      <c r="P690" t="s">
        <v>78</v>
      </c>
      <c r="Q690" s="55">
        <v>165.45454545454544</v>
      </c>
      <c r="R690" s="32">
        <v>91</v>
      </c>
      <c r="S690" s="33">
        <v>0.33</v>
      </c>
      <c r="T690" s="34">
        <f t="shared" si="21"/>
        <v>135.82089552238807</v>
      </c>
      <c r="U690" s="34">
        <f t="shared" si="22"/>
        <v>137.51865671641792</v>
      </c>
      <c r="V690" t="s">
        <v>79</v>
      </c>
      <c r="W690" s="32">
        <v>15</v>
      </c>
      <c r="X690" s="32" t="s">
        <v>80</v>
      </c>
      <c r="AD690" s="1">
        <v>195018759719</v>
      </c>
      <c r="AN690">
        <v>30</v>
      </c>
      <c r="AO690" t="s">
        <v>81</v>
      </c>
    </row>
    <row r="691" spans="1:41" ht="90" x14ac:dyDescent="0.25">
      <c r="A691" s="2">
        <v>195018759573</v>
      </c>
      <c r="B691" t="s">
        <v>71</v>
      </c>
      <c r="C691" t="s">
        <v>72</v>
      </c>
      <c r="D691" t="s">
        <v>2102</v>
      </c>
      <c r="E691" t="s">
        <v>2103</v>
      </c>
      <c r="F691">
        <v>316210</v>
      </c>
      <c r="G691" s="35" t="s">
        <v>2064</v>
      </c>
      <c r="H691" s="31" t="s">
        <v>2104</v>
      </c>
      <c r="J691" t="s">
        <v>77</v>
      </c>
      <c r="M691">
        <v>180</v>
      </c>
      <c r="P691" t="s">
        <v>78</v>
      </c>
      <c r="Q691" s="55">
        <v>165.45454545454544</v>
      </c>
      <c r="R691" s="32">
        <v>91</v>
      </c>
      <c r="S691" s="33">
        <v>0.33</v>
      </c>
      <c r="T691" s="34">
        <f t="shared" si="21"/>
        <v>135.82089552238807</v>
      </c>
      <c r="U691" s="34">
        <f t="shared" si="22"/>
        <v>137.51865671641792</v>
      </c>
      <c r="V691" t="s">
        <v>79</v>
      </c>
      <c r="W691" s="32">
        <v>15</v>
      </c>
      <c r="X691" s="32" t="s">
        <v>80</v>
      </c>
      <c r="AD691" s="1">
        <v>195018759573</v>
      </c>
      <c r="AN691">
        <v>30</v>
      </c>
      <c r="AO691" t="s">
        <v>81</v>
      </c>
    </row>
    <row r="692" spans="1:41" ht="90" x14ac:dyDescent="0.25">
      <c r="A692" s="2">
        <v>195018759726</v>
      </c>
      <c r="B692" t="s">
        <v>71</v>
      </c>
      <c r="C692" t="s">
        <v>72</v>
      </c>
      <c r="D692" t="s">
        <v>2105</v>
      </c>
      <c r="E692" t="s">
        <v>2106</v>
      </c>
      <c r="F692">
        <v>316210</v>
      </c>
      <c r="G692" s="35" t="s">
        <v>2064</v>
      </c>
      <c r="H692" s="31" t="s">
        <v>2107</v>
      </c>
      <c r="J692" t="s">
        <v>77</v>
      </c>
      <c r="M692">
        <v>180</v>
      </c>
      <c r="P692" t="s">
        <v>78</v>
      </c>
      <c r="Q692" s="55">
        <v>165.45454545454544</v>
      </c>
      <c r="R692" s="32">
        <v>91</v>
      </c>
      <c r="S692" s="33">
        <v>0.33</v>
      </c>
      <c r="T692" s="34">
        <f t="shared" si="21"/>
        <v>135.82089552238807</v>
      </c>
      <c r="U692" s="34">
        <f t="shared" si="22"/>
        <v>137.51865671641792</v>
      </c>
      <c r="V692" t="s">
        <v>79</v>
      </c>
      <c r="W692" s="32">
        <v>15</v>
      </c>
      <c r="X692" s="32" t="s">
        <v>80</v>
      </c>
      <c r="AD692" s="1">
        <v>195018759726</v>
      </c>
      <c r="AN692">
        <v>30</v>
      </c>
      <c r="AO692" t="s">
        <v>81</v>
      </c>
    </row>
    <row r="693" spans="1:41" ht="90" x14ac:dyDescent="0.25">
      <c r="A693" s="2">
        <v>195018759580</v>
      </c>
      <c r="B693" t="s">
        <v>71</v>
      </c>
      <c r="C693" t="s">
        <v>72</v>
      </c>
      <c r="D693" t="s">
        <v>2108</v>
      </c>
      <c r="E693" t="s">
        <v>2109</v>
      </c>
      <c r="F693">
        <v>316210</v>
      </c>
      <c r="G693" s="35" t="s">
        <v>2064</v>
      </c>
      <c r="H693" s="31" t="s">
        <v>2110</v>
      </c>
      <c r="J693" t="s">
        <v>77</v>
      </c>
      <c r="M693">
        <v>180</v>
      </c>
      <c r="P693" t="s">
        <v>78</v>
      </c>
      <c r="Q693" s="55">
        <v>165.45454545454544</v>
      </c>
      <c r="R693" s="32">
        <v>91</v>
      </c>
      <c r="S693" s="33">
        <v>0.33</v>
      </c>
      <c r="T693" s="34">
        <f t="shared" si="21"/>
        <v>135.82089552238807</v>
      </c>
      <c r="U693" s="34">
        <f t="shared" si="22"/>
        <v>137.51865671641792</v>
      </c>
      <c r="V693" t="s">
        <v>79</v>
      </c>
      <c r="W693" s="32">
        <v>15</v>
      </c>
      <c r="X693" s="32" t="s">
        <v>80</v>
      </c>
      <c r="AD693" s="1">
        <v>195018759580</v>
      </c>
      <c r="AN693">
        <v>30</v>
      </c>
      <c r="AO693" t="s">
        <v>81</v>
      </c>
    </row>
    <row r="694" spans="1:41" ht="90" x14ac:dyDescent="0.25">
      <c r="A694" s="2">
        <v>195018759733</v>
      </c>
      <c r="B694" t="s">
        <v>71</v>
      </c>
      <c r="C694" t="s">
        <v>72</v>
      </c>
      <c r="D694" t="s">
        <v>2111</v>
      </c>
      <c r="E694" t="s">
        <v>2112</v>
      </c>
      <c r="F694">
        <v>316210</v>
      </c>
      <c r="G694" s="35" t="s">
        <v>2064</v>
      </c>
      <c r="H694" s="31" t="s">
        <v>2113</v>
      </c>
      <c r="J694" t="s">
        <v>77</v>
      </c>
      <c r="M694">
        <v>180</v>
      </c>
      <c r="P694" t="s">
        <v>78</v>
      </c>
      <c r="Q694" s="55">
        <v>165.45454545454544</v>
      </c>
      <c r="R694" s="32">
        <v>91</v>
      </c>
      <c r="S694" s="33">
        <v>0.33</v>
      </c>
      <c r="T694" s="34">
        <f t="shared" si="21"/>
        <v>135.82089552238807</v>
      </c>
      <c r="U694" s="34">
        <f t="shared" si="22"/>
        <v>137.51865671641792</v>
      </c>
      <c r="V694" t="s">
        <v>79</v>
      </c>
      <c r="W694" s="32">
        <v>15</v>
      </c>
      <c r="X694" s="32" t="s">
        <v>80</v>
      </c>
      <c r="AD694" s="1">
        <v>195018759733</v>
      </c>
      <c r="AN694">
        <v>30</v>
      </c>
      <c r="AO694" t="s">
        <v>81</v>
      </c>
    </row>
    <row r="695" spans="1:41" ht="90" x14ac:dyDescent="0.25">
      <c r="A695" s="2">
        <v>195018759597</v>
      </c>
      <c r="B695" t="s">
        <v>71</v>
      </c>
      <c r="C695" t="s">
        <v>72</v>
      </c>
      <c r="D695" t="s">
        <v>2114</v>
      </c>
      <c r="E695" t="s">
        <v>2115</v>
      </c>
      <c r="F695">
        <v>316210</v>
      </c>
      <c r="G695" s="35" t="s">
        <v>2064</v>
      </c>
      <c r="H695" s="31" t="s">
        <v>2116</v>
      </c>
      <c r="J695" t="s">
        <v>77</v>
      </c>
      <c r="M695">
        <v>180</v>
      </c>
      <c r="P695" t="s">
        <v>78</v>
      </c>
      <c r="Q695" s="55">
        <v>165.45454545454544</v>
      </c>
      <c r="R695" s="32">
        <v>91</v>
      </c>
      <c r="S695" s="33">
        <v>0.33</v>
      </c>
      <c r="T695" s="34">
        <f t="shared" si="21"/>
        <v>135.82089552238807</v>
      </c>
      <c r="U695" s="34">
        <f t="shared" si="22"/>
        <v>137.51865671641792</v>
      </c>
      <c r="V695" t="s">
        <v>79</v>
      </c>
      <c r="W695" s="32">
        <v>15</v>
      </c>
      <c r="X695" s="32" t="s">
        <v>80</v>
      </c>
      <c r="AD695" s="1">
        <v>195018759597</v>
      </c>
      <c r="AN695">
        <v>30</v>
      </c>
      <c r="AO695" t="s">
        <v>81</v>
      </c>
    </row>
    <row r="696" spans="1:41" ht="90" x14ac:dyDescent="0.25">
      <c r="A696" s="2">
        <v>195018759740</v>
      </c>
      <c r="B696" t="s">
        <v>71</v>
      </c>
      <c r="C696" t="s">
        <v>72</v>
      </c>
      <c r="D696" t="s">
        <v>2117</v>
      </c>
      <c r="E696" t="s">
        <v>2118</v>
      </c>
      <c r="F696">
        <v>316210</v>
      </c>
      <c r="G696" s="35" t="s">
        <v>2064</v>
      </c>
      <c r="H696" s="31" t="s">
        <v>2119</v>
      </c>
      <c r="J696" t="s">
        <v>77</v>
      </c>
      <c r="M696">
        <v>180</v>
      </c>
      <c r="P696" t="s">
        <v>78</v>
      </c>
      <c r="Q696" s="55">
        <v>165.45454545454544</v>
      </c>
      <c r="R696" s="32">
        <v>91</v>
      </c>
      <c r="S696" s="33">
        <v>0.33</v>
      </c>
      <c r="T696" s="34">
        <f t="shared" si="21"/>
        <v>135.82089552238807</v>
      </c>
      <c r="U696" s="34">
        <f t="shared" si="22"/>
        <v>137.51865671641792</v>
      </c>
      <c r="V696" t="s">
        <v>79</v>
      </c>
      <c r="W696" s="32">
        <v>15</v>
      </c>
      <c r="X696" s="32" t="s">
        <v>80</v>
      </c>
      <c r="AD696" s="1">
        <v>195018759740</v>
      </c>
      <c r="AN696">
        <v>30</v>
      </c>
      <c r="AO696" t="s">
        <v>81</v>
      </c>
    </row>
    <row r="697" spans="1:41" ht="90" x14ac:dyDescent="0.25">
      <c r="A697" s="2">
        <v>195018759603</v>
      </c>
      <c r="B697" t="s">
        <v>71</v>
      </c>
      <c r="C697" t="s">
        <v>72</v>
      </c>
      <c r="D697" t="s">
        <v>2120</v>
      </c>
      <c r="E697" t="s">
        <v>2121</v>
      </c>
      <c r="F697">
        <v>316210</v>
      </c>
      <c r="G697" s="35" t="s">
        <v>2064</v>
      </c>
      <c r="H697" s="31" t="s">
        <v>2122</v>
      </c>
      <c r="J697" t="s">
        <v>77</v>
      </c>
      <c r="M697">
        <v>180</v>
      </c>
      <c r="P697" t="s">
        <v>78</v>
      </c>
      <c r="Q697" s="55">
        <v>165.45454545454544</v>
      </c>
      <c r="R697" s="32">
        <v>91</v>
      </c>
      <c r="S697" s="33">
        <v>0.33</v>
      </c>
      <c r="T697" s="34">
        <f t="shared" si="21"/>
        <v>135.82089552238807</v>
      </c>
      <c r="U697" s="34">
        <f t="shared" si="22"/>
        <v>137.51865671641792</v>
      </c>
      <c r="V697" t="s">
        <v>79</v>
      </c>
      <c r="W697" s="32">
        <v>15</v>
      </c>
      <c r="X697" s="32" t="s">
        <v>80</v>
      </c>
      <c r="AD697" s="1">
        <v>195018759603</v>
      </c>
      <c r="AN697">
        <v>30</v>
      </c>
      <c r="AO697" t="s">
        <v>81</v>
      </c>
    </row>
    <row r="698" spans="1:41" ht="90" x14ac:dyDescent="0.25">
      <c r="A698" s="2">
        <v>195018759757</v>
      </c>
      <c r="B698" t="s">
        <v>71</v>
      </c>
      <c r="C698" t="s">
        <v>72</v>
      </c>
      <c r="D698" t="s">
        <v>2123</v>
      </c>
      <c r="E698" t="s">
        <v>2124</v>
      </c>
      <c r="F698">
        <v>316210</v>
      </c>
      <c r="G698" s="35" t="s">
        <v>2064</v>
      </c>
      <c r="H698" s="31" t="s">
        <v>2125</v>
      </c>
      <c r="J698" t="s">
        <v>77</v>
      </c>
      <c r="M698">
        <v>180</v>
      </c>
      <c r="P698" t="s">
        <v>78</v>
      </c>
      <c r="Q698" s="55">
        <v>165.45454545454544</v>
      </c>
      <c r="R698" s="32">
        <v>91</v>
      </c>
      <c r="S698" s="33">
        <v>0.33</v>
      </c>
      <c r="T698" s="34">
        <f t="shared" si="21"/>
        <v>135.82089552238807</v>
      </c>
      <c r="U698" s="34">
        <f t="shared" si="22"/>
        <v>137.51865671641792</v>
      </c>
      <c r="V698" t="s">
        <v>79</v>
      </c>
      <c r="W698" s="32">
        <v>15</v>
      </c>
      <c r="X698" s="32" t="s">
        <v>80</v>
      </c>
      <c r="AD698" s="1">
        <v>195018759757</v>
      </c>
      <c r="AN698">
        <v>30</v>
      </c>
      <c r="AO698" t="s">
        <v>81</v>
      </c>
    </row>
    <row r="699" spans="1:41" ht="90" x14ac:dyDescent="0.25">
      <c r="A699" s="2">
        <v>195018759610</v>
      </c>
      <c r="B699" t="s">
        <v>71</v>
      </c>
      <c r="C699" t="s">
        <v>72</v>
      </c>
      <c r="D699" t="s">
        <v>2126</v>
      </c>
      <c r="E699" t="s">
        <v>2127</v>
      </c>
      <c r="F699">
        <v>316210</v>
      </c>
      <c r="G699" s="35" t="s">
        <v>2064</v>
      </c>
      <c r="H699" s="31" t="s">
        <v>2128</v>
      </c>
      <c r="J699" t="s">
        <v>77</v>
      </c>
      <c r="M699">
        <v>180</v>
      </c>
      <c r="P699" t="s">
        <v>78</v>
      </c>
      <c r="Q699" s="55">
        <v>165.45454545454544</v>
      </c>
      <c r="R699" s="32">
        <v>91</v>
      </c>
      <c r="S699" s="33">
        <v>0.33</v>
      </c>
      <c r="T699" s="34">
        <f t="shared" si="21"/>
        <v>135.82089552238807</v>
      </c>
      <c r="U699" s="34">
        <f t="shared" si="22"/>
        <v>137.51865671641792</v>
      </c>
      <c r="V699" t="s">
        <v>79</v>
      </c>
      <c r="W699" s="32">
        <v>15</v>
      </c>
      <c r="X699" s="32" t="s">
        <v>80</v>
      </c>
      <c r="AD699" s="1">
        <v>195018759610</v>
      </c>
      <c r="AN699">
        <v>30</v>
      </c>
      <c r="AO699" t="s">
        <v>81</v>
      </c>
    </row>
    <row r="700" spans="1:41" ht="90" x14ac:dyDescent="0.25">
      <c r="A700" s="2">
        <v>195018759764</v>
      </c>
      <c r="B700" t="s">
        <v>71</v>
      </c>
      <c r="C700" t="s">
        <v>72</v>
      </c>
      <c r="D700" t="s">
        <v>2129</v>
      </c>
      <c r="E700" t="s">
        <v>2130</v>
      </c>
      <c r="F700">
        <v>316210</v>
      </c>
      <c r="G700" s="35" t="s">
        <v>2064</v>
      </c>
      <c r="H700" s="31" t="s">
        <v>2131</v>
      </c>
      <c r="J700" t="s">
        <v>77</v>
      </c>
      <c r="M700">
        <v>180</v>
      </c>
      <c r="P700" t="s">
        <v>78</v>
      </c>
      <c r="Q700" s="55">
        <v>165.45454545454544</v>
      </c>
      <c r="R700" s="32">
        <v>91</v>
      </c>
      <c r="S700" s="33">
        <v>0.33</v>
      </c>
      <c r="T700" s="34">
        <f t="shared" si="21"/>
        <v>135.82089552238807</v>
      </c>
      <c r="U700" s="34">
        <f t="shared" si="22"/>
        <v>137.51865671641792</v>
      </c>
      <c r="V700" t="s">
        <v>79</v>
      </c>
      <c r="W700" s="32">
        <v>15</v>
      </c>
      <c r="X700" s="32" t="s">
        <v>80</v>
      </c>
      <c r="AD700" s="1">
        <v>195018759764</v>
      </c>
      <c r="AN700">
        <v>30</v>
      </c>
      <c r="AO700" t="s">
        <v>81</v>
      </c>
    </row>
    <row r="701" spans="1:41" ht="90" x14ac:dyDescent="0.25">
      <c r="A701" s="2">
        <v>195018759627</v>
      </c>
      <c r="B701" t="s">
        <v>71</v>
      </c>
      <c r="C701" t="s">
        <v>72</v>
      </c>
      <c r="D701" t="s">
        <v>2132</v>
      </c>
      <c r="E701" t="s">
        <v>2133</v>
      </c>
      <c r="F701">
        <v>316210</v>
      </c>
      <c r="G701" s="35" t="s">
        <v>2064</v>
      </c>
      <c r="H701" s="31" t="s">
        <v>2134</v>
      </c>
      <c r="J701" t="s">
        <v>77</v>
      </c>
      <c r="M701">
        <v>180</v>
      </c>
      <c r="P701" t="s">
        <v>78</v>
      </c>
      <c r="Q701" s="55">
        <v>165.45454545454544</v>
      </c>
      <c r="R701" s="32">
        <v>91</v>
      </c>
      <c r="S701" s="33">
        <v>0.33</v>
      </c>
      <c r="T701" s="34">
        <f t="shared" si="21"/>
        <v>135.82089552238807</v>
      </c>
      <c r="U701" s="34">
        <f t="shared" si="22"/>
        <v>137.51865671641792</v>
      </c>
      <c r="V701" t="s">
        <v>79</v>
      </c>
      <c r="W701" s="32">
        <v>15</v>
      </c>
      <c r="X701" s="32" t="s">
        <v>80</v>
      </c>
      <c r="AD701" s="1">
        <v>195018759627</v>
      </c>
      <c r="AN701">
        <v>30</v>
      </c>
      <c r="AO701" t="s">
        <v>81</v>
      </c>
    </row>
    <row r="702" spans="1:41" ht="90" x14ac:dyDescent="0.25">
      <c r="A702" s="2">
        <v>195018759771</v>
      </c>
      <c r="B702" t="s">
        <v>71</v>
      </c>
      <c r="C702" t="s">
        <v>72</v>
      </c>
      <c r="D702" t="s">
        <v>2135</v>
      </c>
      <c r="E702" t="s">
        <v>2136</v>
      </c>
      <c r="F702">
        <v>316210</v>
      </c>
      <c r="G702" s="35" t="s">
        <v>2064</v>
      </c>
      <c r="H702" s="31" t="s">
        <v>2137</v>
      </c>
      <c r="J702" t="s">
        <v>77</v>
      </c>
      <c r="M702">
        <v>180</v>
      </c>
      <c r="P702" t="s">
        <v>78</v>
      </c>
      <c r="Q702" s="55">
        <v>165.45454545454544</v>
      </c>
      <c r="R702" s="32">
        <v>91</v>
      </c>
      <c r="S702" s="33">
        <v>0.33</v>
      </c>
      <c r="T702" s="34">
        <f t="shared" si="21"/>
        <v>135.82089552238807</v>
      </c>
      <c r="U702" s="34">
        <f t="shared" si="22"/>
        <v>137.51865671641792</v>
      </c>
      <c r="V702" t="s">
        <v>79</v>
      </c>
      <c r="W702" s="32">
        <v>15</v>
      </c>
      <c r="X702" s="32" t="s">
        <v>80</v>
      </c>
      <c r="AD702" s="1">
        <v>195018759771</v>
      </c>
      <c r="AN702">
        <v>30</v>
      </c>
      <c r="AO702" t="s">
        <v>81</v>
      </c>
    </row>
    <row r="703" spans="1:41" ht="90" x14ac:dyDescent="0.25">
      <c r="A703" s="2">
        <v>195018759634</v>
      </c>
      <c r="B703" t="s">
        <v>71</v>
      </c>
      <c r="C703" t="s">
        <v>72</v>
      </c>
      <c r="D703" t="s">
        <v>2138</v>
      </c>
      <c r="E703" t="s">
        <v>2139</v>
      </c>
      <c r="F703">
        <v>316210</v>
      </c>
      <c r="G703" s="35" t="s">
        <v>2064</v>
      </c>
      <c r="H703" s="31" t="s">
        <v>2140</v>
      </c>
      <c r="J703" t="s">
        <v>77</v>
      </c>
      <c r="M703">
        <v>180</v>
      </c>
      <c r="P703" t="s">
        <v>78</v>
      </c>
      <c r="Q703" s="55">
        <v>165.45454545454544</v>
      </c>
      <c r="R703" s="32">
        <v>91</v>
      </c>
      <c r="S703" s="33">
        <v>0.33</v>
      </c>
      <c r="T703" s="34">
        <f t="shared" si="21"/>
        <v>135.82089552238807</v>
      </c>
      <c r="U703" s="34">
        <f t="shared" si="22"/>
        <v>137.51865671641792</v>
      </c>
      <c r="V703" t="s">
        <v>79</v>
      </c>
      <c r="W703" s="32">
        <v>15</v>
      </c>
      <c r="X703" s="32" t="s">
        <v>80</v>
      </c>
      <c r="AD703" s="1">
        <v>195018759634</v>
      </c>
      <c r="AN703">
        <v>30</v>
      </c>
      <c r="AO703" t="s">
        <v>81</v>
      </c>
    </row>
    <row r="704" spans="1:41" ht="90" x14ac:dyDescent="0.25">
      <c r="A704" s="2">
        <v>195018759788</v>
      </c>
      <c r="B704" t="s">
        <v>71</v>
      </c>
      <c r="C704" t="s">
        <v>72</v>
      </c>
      <c r="D704" t="s">
        <v>2141</v>
      </c>
      <c r="E704" t="s">
        <v>2142</v>
      </c>
      <c r="F704">
        <v>316210</v>
      </c>
      <c r="G704" s="35" t="s">
        <v>2064</v>
      </c>
      <c r="H704" s="31" t="s">
        <v>2143</v>
      </c>
      <c r="J704" t="s">
        <v>77</v>
      </c>
      <c r="M704">
        <v>180</v>
      </c>
      <c r="P704" t="s">
        <v>78</v>
      </c>
      <c r="Q704" s="55">
        <v>165.45454545454544</v>
      </c>
      <c r="R704" s="32">
        <v>91</v>
      </c>
      <c r="S704" s="33">
        <v>0.33</v>
      </c>
      <c r="T704" s="34">
        <f t="shared" si="21"/>
        <v>135.82089552238807</v>
      </c>
      <c r="U704" s="34">
        <f t="shared" si="22"/>
        <v>137.51865671641792</v>
      </c>
      <c r="V704" t="s">
        <v>79</v>
      </c>
      <c r="W704" s="32">
        <v>15</v>
      </c>
      <c r="X704" s="32" t="s">
        <v>80</v>
      </c>
      <c r="AD704" s="1">
        <v>195018759788</v>
      </c>
      <c r="AN704">
        <v>30</v>
      </c>
      <c r="AO704" t="s">
        <v>81</v>
      </c>
    </row>
    <row r="705" spans="1:41" ht="90" x14ac:dyDescent="0.25">
      <c r="A705" s="2">
        <v>195018759641</v>
      </c>
      <c r="B705" t="s">
        <v>71</v>
      </c>
      <c r="C705" t="s">
        <v>72</v>
      </c>
      <c r="D705" t="s">
        <v>2144</v>
      </c>
      <c r="E705" t="s">
        <v>2145</v>
      </c>
      <c r="F705">
        <v>316210</v>
      </c>
      <c r="G705" s="35" t="s">
        <v>2064</v>
      </c>
      <c r="H705" s="31" t="s">
        <v>2146</v>
      </c>
      <c r="J705" t="s">
        <v>77</v>
      </c>
      <c r="M705">
        <v>180</v>
      </c>
      <c r="P705" t="s">
        <v>78</v>
      </c>
      <c r="Q705" s="55">
        <v>165.45454545454544</v>
      </c>
      <c r="R705" s="32">
        <v>91</v>
      </c>
      <c r="S705" s="33">
        <v>0.33</v>
      </c>
      <c r="T705" s="34">
        <f t="shared" si="21"/>
        <v>135.82089552238807</v>
      </c>
      <c r="U705" s="34">
        <f t="shared" si="22"/>
        <v>137.51865671641792</v>
      </c>
      <c r="V705" t="s">
        <v>79</v>
      </c>
      <c r="W705" s="32">
        <v>15</v>
      </c>
      <c r="X705" s="32" t="s">
        <v>80</v>
      </c>
      <c r="AD705" s="1">
        <v>195018759641</v>
      </c>
      <c r="AN705">
        <v>30</v>
      </c>
      <c r="AO705" t="s">
        <v>81</v>
      </c>
    </row>
    <row r="706" spans="1:41" ht="120" x14ac:dyDescent="0.25">
      <c r="A706" s="2">
        <v>195019779914</v>
      </c>
      <c r="B706" t="s">
        <v>71</v>
      </c>
      <c r="C706" t="s">
        <v>72</v>
      </c>
      <c r="D706" t="s">
        <v>2147</v>
      </c>
      <c r="E706" t="s">
        <v>2148</v>
      </c>
      <c r="F706">
        <v>316210</v>
      </c>
      <c r="G706" s="35" t="s">
        <v>2149</v>
      </c>
      <c r="H706" s="31" t="s">
        <v>2150</v>
      </c>
      <c r="J706" t="s">
        <v>77</v>
      </c>
      <c r="M706">
        <v>200</v>
      </c>
      <c r="P706" t="s">
        <v>78</v>
      </c>
      <c r="Q706" s="55">
        <v>185.45454545454544</v>
      </c>
      <c r="R706" s="32">
        <v>102</v>
      </c>
      <c r="S706" s="33">
        <v>0.33</v>
      </c>
      <c r="T706" s="34">
        <f t="shared" si="21"/>
        <v>152.23880597014926</v>
      </c>
      <c r="U706" s="34">
        <f t="shared" si="22"/>
        <v>154.14179104477611</v>
      </c>
      <c r="V706" t="s">
        <v>79</v>
      </c>
      <c r="W706" s="32">
        <v>15</v>
      </c>
      <c r="X706" s="32" t="s">
        <v>80</v>
      </c>
      <c r="AD706" s="1">
        <v>195019779914</v>
      </c>
      <c r="AN706">
        <v>30</v>
      </c>
      <c r="AO706" t="s">
        <v>81</v>
      </c>
    </row>
    <row r="707" spans="1:41" ht="120" x14ac:dyDescent="0.25">
      <c r="A707" s="2">
        <v>195019779921</v>
      </c>
      <c r="B707" t="s">
        <v>71</v>
      </c>
      <c r="C707" t="s">
        <v>72</v>
      </c>
      <c r="D707" t="s">
        <v>2151</v>
      </c>
      <c r="E707" t="s">
        <v>2152</v>
      </c>
      <c r="F707">
        <v>316210</v>
      </c>
      <c r="G707" s="35" t="s">
        <v>2149</v>
      </c>
      <c r="H707" s="31" t="s">
        <v>2153</v>
      </c>
      <c r="J707" t="s">
        <v>77</v>
      </c>
      <c r="M707">
        <v>200</v>
      </c>
      <c r="P707" t="s">
        <v>78</v>
      </c>
      <c r="Q707" s="55">
        <v>185.45454545454544</v>
      </c>
      <c r="R707" s="32">
        <v>102</v>
      </c>
      <c r="S707" s="33">
        <v>0.33</v>
      </c>
      <c r="T707" s="34">
        <f t="shared" si="21"/>
        <v>152.23880597014926</v>
      </c>
      <c r="U707" s="34">
        <f t="shared" si="22"/>
        <v>154.14179104477611</v>
      </c>
      <c r="V707" t="s">
        <v>79</v>
      </c>
      <c r="W707" s="32">
        <v>15</v>
      </c>
      <c r="X707" s="32" t="s">
        <v>80</v>
      </c>
      <c r="AD707" s="1">
        <v>195019779921</v>
      </c>
      <c r="AN707">
        <v>30</v>
      </c>
      <c r="AO707" t="s">
        <v>81</v>
      </c>
    </row>
    <row r="708" spans="1:41" ht="120" x14ac:dyDescent="0.25">
      <c r="A708" s="2">
        <v>195019779938</v>
      </c>
      <c r="B708" t="s">
        <v>71</v>
      </c>
      <c r="C708" t="s">
        <v>72</v>
      </c>
      <c r="D708" t="s">
        <v>2154</v>
      </c>
      <c r="E708" t="s">
        <v>2155</v>
      </c>
      <c r="F708">
        <v>316210</v>
      </c>
      <c r="G708" s="35" t="s">
        <v>2149</v>
      </c>
      <c r="H708" s="31" t="s">
        <v>2156</v>
      </c>
      <c r="J708" t="s">
        <v>77</v>
      </c>
      <c r="M708">
        <v>200</v>
      </c>
      <c r="P708" t="s">
        <v>78</v>
      </c>
      <c r="Q708" s="55">
        <v>185.45454545454544</v>
      </c>
      <c r="R708" s="32">
        <v>102</v>
      </c>
      <c r="S708" s="33">
        <v>0.33</v>
      </c>
      <c r="T708" s="34">
        <f t="shared" ref="T708:T771" si="23">R708/(1-S708)</f>
        <v>152.23880597014926</v>
      </c>
      <c r="U708" s="34">
        <f t="shared" ref="U708:U771" si="24">T708*(1+1.25%)</f>
        <v>154.14179104477611</v>
      </c>
      <c r="V708" t="s">
        <v>79</v>
      </c>
      <c r="W708" s="32">
        <v>15</v>
      </c>
      <c r="X708" s="32" t="s">
        <v>80</v>
      </c>
      <c r="AD708" s="1">
        <v>195019779938</v>
      </c>
      <c r="AN708">
        <v>30</v>
      </c>
      <c r="AO708" t="s">
        <v>81</v>
      </c>
    </row>
    <row r="709" spans="1:41" ht="120" x14ac:dyDescent="0.25">
      <c r="A709" s="2">
        <v>195019779945</v>
      </c>
      <c r="B709" t="s">
        <v>71</v>
      </c>
      <c r="C709" t="s">
        <v>72</v>
      </c>
      <c r="D709" t="s">
        <v>2157</v>
      </c>
      <c r="E709" t="s">
        <v>2158</v>
      </c>
      <c r="F709">
        <v>316210</v>
      </c>
      <c r="G709" s="35" t="s">
        <v>2149</v>
      </c>
      <c r="H709" s="31" t="s">
        <v>2159</v>
      </c>
      <c r="J709" t="s">
        <v>77</v>
      </c>
      <c r="M709">
        <v>200</v>
      </c>
      <c r="P709" t="s">
        <v>78</v>
      </c>
      <c r="Q709" s="55">
        <v>185.45454545454544</v>
      </c>
      <c r="R709" s="32">
        <v>102</v>
      </c>
      <c r="S709" s="33">
        <v>0.33</v>
      </c>
      <c r="T709" s="34">
        <f t="shared" si="23"/>
        <v>152.23880597014926</v>
      </c>
      <c r="U709" s="34">
        <f t="shared" si="24"/>
        <v>154.14179104477611</v>
      </c>
      <c r="V709" t="s">
        <v>79</v>
      </c>
      <c r="W709" s="32">
        <v>15</v>
      </c>
      <c r="X709" s="32" t="s">
        <v>80</v>
      </c>
      <c r="AD709" s="1">
        <v>195019779945</v>
      </c>
      <c r="AN709">
        <v>30</v>
      </c>
      <c r="AO709" t="s">
        <v>81</v>
      </c>
    </row>
    <row r="710" spans="1:41" ht="120" x14ac:dyDescent="0.25">
      <c r="A710" s="2">
        <v>195019257030</v>
      </c>
      <c r="B710" t="s">
        <v>71</v>
      </c>
      <c r="C710" t="s">
        <v>72</v>
      </c>
      <c r="D710" t="s">
        <v>2160</v>
      </c>
      <c r="E710" t="s">
        <v>2161</v>
      </c>
      <c r="F710">
        <v>316210</v>
      </c>
      <c r="G710" s="35" t="s">
        <v>2149</v>
      </c>
      <c r="H710" s="31" t="s">
        <v>2162</v>
      </c>
      <c r="J710" t="s">
        <v>77</v>
      </c>
      <c r="M710">
        <v>200</v>
      </c>
      <c r="P710" t="s">
        <v>78</v>
      </c>
      <c r="Q710" s="55">
        <v>185.45454545454544</v>
      </c>
      <c r="R710" s="32">
        <v>102</v>
      </c>
      <c r="S710" s="33">
        <v>0.33</v>
      </c>
      <c r="T710" s="34">
        <f t="shared" si="23"/>
        <v>152.23880597014926</v>
      </c>
      <c r="U710" s="34">
        <f t="shared" si="24"/>
        <v>154.14179104477611</v>
      </c>
      <c r="V710" t="s">
        <v>79</v>
      </c>
      <c r="W710" s="32">
        <v>15</v>
      </c>
      <c r="X710" s="32" t="s">
        <v>80</v>
      </c>
      <c r="AD710" s="1">
        <v>195019257030</v>
      </c>
      <c r="AN710">
        <v>30</v>
      </c>
      <c r="AO710" t="s">
        <v>81</v>
      </c>
    </row>
    <row r="711" spans="1:41" ht="120" x14ac:dyDescent="0.25">
      <c r="A711" s="2">
        <v>195019257047</v>
      </c>
      <c r="B711" t="s">
        <v>71</v>
      </c>
      <c r="C711" t="s">
        <v>72</v>
      </c>
      <c r="D711" t="s">
        <v>2163</v>
      </c>
      <c r="E711" t="s">
        <v>2164</v>
      </c>
      <c r="F711">
        <v>316210</v>
      </c>
      <c r="G711" s="35" t="s">
        <v>2149</v>
      </c>
      <c r="H711" s="31" t="s">
        <v>2165</v>
      </c>
      <c r="J711" t="s">
        <v>77</v>
      </c>
      <c r="M711">
        <v>200</v>
      </c>
      <c r="P711" t="s">
        <v>78</v>
      </c>
      <c r="Q711" s="55">
        <v>185.45454545454544</v>
      </c>
      <c r="R711" s="32">
        <v>102</v>
      </c>
      <c r="S711" s="33">
        <v>0.33</v>
      </c>
      <c r="T711" s="34">
        <f t="shared" si="23"/>
        <v>152.23880597014926</v>
      </c>
      <c r="U711" s="34">
        <f t="shared" si="24"/>
        <v>154.14179104477611</v>
      </c>
      <c r="V711" t="s">
        <v>79</v>
      </c>
      <c r="W711" s="32">
        <v>15</v>
      </c>
      <c r="X711" s="32" t="s">
        <v>80</v>
      </c>
      <c r="AD711" s="1">
        <v>195019257047</v>
      </c>
      <c r="AN711">
        <v>30</v>
      </c>
      <c r="AO711" t="s">
        <v>81</v>
      </c>
    </row>
    <row r="712" spans="1:41" ht="120" x14ac:dyDescent="0.25">
      <c r="A712" s="2">
        <v>195019257054</v>
      </c>
      <c r="B712" t="s">
        <v>71</v>
      </c>
      <c r="C712" t="s">
        <v>72</v>
      </c>
      <c r="D712" t="s">
        <v>2166</v>
      </c>
      <c r="E712" t="s">
        <v>2167</v>
      </c>
      <c r="F712">
        <v>316210</v>
      </c>
      <c r="G712" s="35" t="s">
        <v>2149</v>
      </c>
      <c r="H712" s="31" t="s">
        <v>2168</v>
      </c>
      <c r="J712" t="s">
        <v>77</v>
      </c>
      <c r="M712">
        <v>200</v>
      </c>
      <c r="P712" t="s">
        <v>78</v>
      </c>
      <c r="Q712" s="55">
        <v>185.45454545454544</v>
      </c>
      <c r="R712" s="32">
        <v>102</v>
      </c>
      <c r="S712" s="33">
        <v>0.33</v>
      </c>
      <c r="T712" s="34">
        <f t="shared" si="23"/>
        <v>152.23880597014926</v>
      </c>
      <c r="U712" s="34">
        <f t="shared" si="24"/>
        <v>154.14179104477611</v>
      </c>
      <c r="V712" t="s">
        <v>79</v>
      </c>
      <c r="W712" s="32">
        <v>15</v>
      </c>
      <c r="X712" s="32" t="s">
        <v>80</v>
      </c>
      <c r="AD712" s="1">
        <v>195019257054</v>
      </c>
      <c r="AN712">
        <v>30</v>
      </c>
      <c r="AO712" t="s">
        <v>81</v>
      </c>
    </row>
    <row r="713" spans="1:41" ht="120" x14ac:dyDescent="0.25">
      <c r="A713" s="2">
        <v>195019257061</v>
      </c>
      <c r="B713" t="s">
        <v>71</v>
      </c>
      <c r="C713" t="s">
        <v>72</v>
      </c>
      <c r="D713" t="s">
        <v>2169</v>
      </c>
      <c r="E713" t="s">
        <v>2170</v>
      </c>
      <c r="F713">
        <v>316210</v>
      </c>
      <c r="G713" s="35" t="s">
        <v>2149</v>
      </c>
      <c r="H713" s="31" t="s">
        <v>2171</v>
      </c>
      <c r="J713" t="s">
        <v>77</v>
      </c>
      <c r="M713">
        <v>200</v>
      </c>
      <c r="P713" t="s">
        <v>78</v>
      </c>
      <c r="Q713" s="55">
        <v>185.45454545454544</v>
      </c>
      <c r="R713" s="32">
        <v>102</v>
      </c>
      <c r="S713" s="33">
        <v>0.33</v>
      </c>
      <c r="T713" s="34">
        <f t="shared" si="23"/>
        <v>152.23880597014926</v>
      </c>
      <c r="U713" s="34">
        <f t="shared" si="24"/>
        <v>154.14179104477611</v>
      </c>
      <c r="V713" t="s">
        <v>79</v>
      </c>
      <c r="W713" s="32">
        <v>15</v>
      </c>
      <c r="X713" s="32" t="s">
        <v>80</v>
      </c>
      <c r="AD713" s="1">
        <v>195019257061</v>
      </c>
      <c r="AN713">
        <v>30</v>
      </c>
      <c r="AO713" t="s">
        <v>81</v>
      </c>
    </row>
    <row r="714" spans="1:41" ht="120" x14ac:dyDescent="0.25">
      <c r="A714" s="2">
        <v>195018759931</v>
      </c>
      <c r="B714" t="s">
        <v>71</v>
      </c>
      <c r="C714" t="s">
        <v>72</v>
      </c>
      <c r="D714" t="s">
        <v>2172</v>
      </c>
      <c r="E714" t="s">
        <v>2173</v>
      </c>
      <c r="F714">
        <v>316210</v>
      </c>
      <c r="G714" s="35" t="s">
        <v>2149</v>
      </c>
      <c r="H714" s="31" t="s">
        <v>2174</v>
      </c>
      <c r="J714" t="s">
        <v>77</v>
      </c>
      <c r="M714">
        <v>200</v>
      </c>
      <c r="P714" t="s">
        <v>78</v>
      </c>
      <c r="Q714" s="55">
        <v>185.45454545454544</v>
      </c>
      <c r="R714" s="32">
        <v>102</v>
      </c>
      <c r="S714" s="33">
        <v>0.33</v>
      </c>
      <c r="T714" s="34">
        <f t="shared" si="23"/>
        <v>152.23880597014926</v>
      </c>
      <c r="U714" s="34">
        <f t="shared" si="24"/>
        <v>154.14179104477611</v>
      </c>
      <c r="V714" t="s">
        <v>79</v>
      </c>
      <c r="W714" s="32">
        <v>15</v>
      </c>
      <c r="X714" s="32" t="s">
        <v>80</v>
      </c>
      <c r="AD714" s="1">
        <v>195018759931</v>
      </c>
      <c r="AN714">
        <v>30</v>
      </c>
      <c r="AO714" t="s">
        <v>81</v>
      </c>
    </row>
    <row r="715" spans="1:41" ht="120" x14ac:dyDescent="0.25">
      <c r="A715" s="2">
        <v>195018759795</v>
      </c>
      <c r="B715" t="s">
        <v>71</v>
      </c>
      <c r="C715" t="s">
        <v>72</v>
      </c>
      <c r="D715" t="s">
        <v>2175</v>
      </c>
      <c r="E715" t="s">
        <v>2176</v>
      </c>
      <c r="F715">
        <v>316210</v>
      </c>
      <c r="G715" s="35" t="s">
        <v>2149</v>
      </c>
      <c r="H715" s="31" t="s">
        <v>2177</v>
      </c>
      <c r="J715" t="s">
        <v>77</v>
      </c>
      <c r="M715">
        <v>200</v>
      </c>
      <c r="P715" t="s">
        <v>78</v>
      </c>
      <c r="Q715" s="55">
        <v>185.45454545454544</v>
      </c>
      <c r="R715" s="32">
        <v>102</v>
      </c>
      <c r="S715" s="33">
        <v>0.33</v>
      </c>
      <c r="T715" s="34">
        <f t="shared" si="23"/>
        <v>152.23880597014926</v>
      </c>
      <c r="U715" s="34">
        <f t="shared" si="24"/>
        <v>154.14179104477611</v>
      </c>
      <c r="V715" t="s">
        <v>79</v>
      </c>
      <c r="W715" s="32">
        <v>15</v>
      </c>
      <c r="X715" s="32" t="s">
        <v>80</v>
      </c>
      <c r="AD715" s="1">
        <v>195018759795</v>
      </c>
      <c r="AN715">
        <v>30</v>
      </c>
      <c r="AO715" t="s">
        <v>81</v>
      </c>
    </row>
    <row r="716" spans="1:41" ht="120" x14ac:dyDescent="0.25">
      <c r="A716" s="2">
        <v>195018759948</v>
      </c>
      <c r="B716" t="s">
        <v>71</v>
      </c>
      <c r="C716" t="s">
        <v>72</v>
      </c>
      <c r="D716" t="s">
        <v>2178</v>
      </c>
      <c r="E716" t="s">
        <v>2179</v>
      </c>
      <c r="F716">
        <v>316210</v>
      </c>
      <c r="G716" s="35" t="s">
        <v>2149</v>
      </c>
      <c r="H716" s="31" t="s">
        <v>2180</v>
      </c>
      <c r="J716" t="s">
        <v>77</v>
      </c>
      <c r="M716">
        <v>200</v>
      </c>
      <c r="P716" t="s">
        <v>78</v>
      </c>
      <c r="Q716" s="55">
        <v>185.45454545454544</v>
      </c>
      <c r="R716" s="32">
        <v>102</v>
      </c>
      <c r="S716" s="33">
        <v>0.33</v>
      </c>
      <c r="T716" s="34">
        <f t="shared" si="23"/>
        <v>152.23880597014926</v>
      </c>
      <c r="U716" s="34">
        <f t="shared" si="24"/>
        <v>154.14179104477611</v>
      </c>
      <c r="V716" t="s">
        <v>79</v>
      </c>
      <c r="W716" s="32">
        <v>15</v>
      </c>
      <c r="X716" s="32" t="s">
        <v>80</v>
      </c>
      <c r="AD716" s="1">
        <v>195018759948</v>
      </c>
      <c r="AN716">
        <v>30</v>
      </c>
      <c r="AO716" t="s">
        <v>81</v>
      </c>
    </row>
    <row r="717" spans="1:41" ht="120" x14ac:dyDescent="0.25">
      <c r="A717" s="2">
        <v>195018759801</v>
      </c>
      <c r="B717" t="s">
        <v>71</v>
      </c>
      <c r="C717" t="s">
        <v>72</v>
      </c>
      <c r="D717" t="s">
        <v>2181</v>
      </c>
      <c r="E717" t="s">
        <v>2182</v>
      </c>
      <c r="F717">
        <v>316210</v>
      </c>
      <c r="G717" s="35" t="s">
        <v>2149</v>
      </c>
      <c r="H717" s="31" t="s">
        <v>2183</v>
      </c>
      <c r="J717" t="s">
        <v>77</v>
      </c>
      <c r="M717">
        <v>200</v>
      </c>
      <c r="P717" t="s">
        <v>78</v>
      </c>
      <c r="Q717" s="55">
        <v>185.45454545454544</v>
      </c>
      <c r="R717" s="32">
        <v>102</v>
      </c>
      <c r="S717" s="33">
        <v>0.33</v>
      </c>
      <c r="T717" s="34">
        <f t="shared" si="23"/>
        <v>152.23880597014926</v>
      </c>
      <c r="U717" s="34">
        <f t="shared" si="24"/>
        <v>154.14179104477611</v>
      </c>
      <c r="V717" t="s">
        <v>79</v>
      </c>
      <c r="W717" s="32">
        <v>15</v>
      </c>
      <c r="X717" s="32" t="s">
        <v>80</v>
      </c>
      <c r="AD717" s="1">
        <v>195018759801</v>
      </c>
      <c r="AN717">
        <v>30</v>
      </c>
      <c r="AO717" t="s">
        <v>81</v>
      </c>
    </row>
    <row r="718" spans="1:41" ht="120" x14ac:dyDescent="0.25">
      <c r="A718" s="2">
        <v>195018759955</v>
      </c>
      <c r="B718" t="s">
        <v>71</v>
      </c>
      <c r="C718" t="s">
        <v>72</v>
      </c>
      <c r="D718" t="s">
        <v>2184</v>
      </c>
      <c r="E718" t="s">
        <v>2185</v>
      </c>
      <c r="F718">
        <v>316210</v>
      </c>
      <c r="G718" s="35" t="s">
        <v>2149</v>
      </c>
      <c r="H718" s="31" t="s">
        <v>2186</v>
      </c>
      <c r="J718" t="s">
        <v>77</v>
      </c>
      <c r="M718">
        <v>200</v>
      </c>
      <c r="P718" t="s">
        <v>78</v>
      </c>
      <c r="Q718" s="55">
        <v>185.45454545454544</v>
      </c>
      <c r="R718" s="32">
        <v>102</v>
      </c>
      <c r="S718" s="33">
        <v>0.33</v>
      </c>
      <c r="T718" s="34">
        <f t="shared" si="23"/>
        <v>152.23880597014926</v>
      </c>
      <c r="U718" s="34">
        <f t="shared" si="24"/>
        <v>154.14179104477611</v>
      </c>
      <c r="V718" t="s">
        <v>79</v>
      </c>
      <c r="W718" s="32">
        <v>15</v>
      </c>
      <c r="X718" s="32" t="s">
        <v>80</v>
      </c>
      <c r="AD718" s="1">
        <v>195018759955</v>
      </c>
      <c r="AN718">
        <v>30</v>
      </c>
      <c r="AO718" t="s">
        <v>81</v>
      </c>
    </row>
    <row r="719" spans="1:41" ht="120" x14ac:dyDescent="0.25">
      <c r="A719" s="2">
        <v>195018759818</v>
      </c>
      <c r="B719" t="s">
        <v>71</v>
      </c>
      <c r="C719" t="s">
        <v>72</v>
      </c>
      <c r="D719" t="s">
        <v>2187</v>
      </c>
      <c r="E719" t="s">
        <v>2188</v>
      </c>
      <c r="F719">
        <v>316210</v>
      </c>
      <c r="G719" s="35" t="s">
        <v>2149</v>
      </c>
      <c r="H719" s="31" t="s">
        <v>2189</v>
      </c>
      <c r="J719" t="s">
        <v>77</v>
      </c>
      <c r="M719">
        <v>200</v>
      </c>
      <c r="P719" t="s">
        <v>78</v>
      </c>
      <c r="Q719" s="55">
        <v>185.45454545454544</v>
      </c>
      <c r="R719" s="32">
        <v>102</v>
      </c>
      <c r="S719" s="33">
        <v>0.33</v>
      </c>
      <c r="T719" s="34">
        <f t="shared" si="23"/>
        <v>152.23880597014926</v>
      </c>
      <c r="U719" s="34">
        <f t="shared" si="24"/>
        <v>154.14179104477611</v>
      </c>
      <c r="V719" t="s">
        <v>79</v>
      </c>
      <c r="W719" s="32">
        <v>15</v>
      </c>
      <c r="X719" s="32" t="s">
        <v>80</v>
      </c>
      <c r="AD719" s="1">
        <v>195018759818</v>
      </c>
      <c r="AN719">
        <v>30</v>
      </c>
      <c r="AO719" t="s">
        <v>81</v>
      </c>
    </row>
    <row r="720" spans="1:41" ht="120" x14ac:dyDescent="0.25">
      <c r="A720" s="2">
        <v>195018759962</v>
      </c>
      <c r="B720" t="s">
        <v>71</v>
      </c>
      <c r="C720" t="s">
        <v>72</v>
      </c>
      <c r="D720" t="s">
        <v>2190</v>
      </c>
      <c r="E720" t="s">
        <v>2191</v>
      </c>
      <c r="F720">
        <v>316210</v>
      </c>
      <c r="G720" s="35" t="s">
        <v>2149</v>
      </c>
      <c r="H720" s="31" t="s">
        <v>2192</v>
      </c>
      <c r="J720" t="s">
        <v>77</v>
      </c>
      <c r="M720">
        <v>200</v>
      </c>
      <c r="P720" t="s">
        <v>78</v>
      </c>
      <c r="Q720" s="55">
        <v>185.45454545454544</v>
      </c>
      <c r="R720" s="32">
        <v>102</v>
      </c>
      <c r="S720" s="33">
        <v>0.33</v>
      </c>
      <c r="T720" s="34">
        <f t="shared" si="23"/>
        <v>152.23880597014926</v>
      </c>
      <c r="U720" s="34">
        <f t="shared" si="24"/>
        <v>154.14179104477611</v>
      </c>
      <c r="V720" t="s">
        <v>79</v>
      </c>
      <c r="W720" s="32">
        <v>15</v>
      </c>
      <c r="X720" s="32" t="s">
        <v>80</v>
      </c>
      <c r="AD720" s="1">
        <v>195018759962</v>
      </c>
      <c r="AN720">
        <v>30</v>
      </c>
      <c r="AO720" t="s">
        <v>81</v>
      </c>
    </row>
    <row r="721" spans="1:41" ht="120" x14ac:dyDescent="0.25">
      <c r="A721" s="2">
        <v>195018759825</v>
      </c>
      <c r="B721" t="s">
        <v>71</v>
      </c>
      <c r="C721" t="s">
        <v>72</v>
      </c>
      <c r="D721" t="s">
        <v>2193</v>
      </c>
      <c r="E721" t="s">
        <v>2194</v>
      </c>
      <c r="F721">
        <v>316210</v>
      </c>
      <c r="G721" s="35" t="s">
        <v>2149</v>
      </c>
      <c r="H721" s="31" t="s">
        <v>2195</v>
      </c>
      <c r="J721" t="s">
        <v>77</v>
      </c>
      <c r="M721">
        <v>200</v>
      </c>
      <c r="P721" t="s">
        <v>78</v>
      </c>
      <c r="Q721" s="55">
        <v>185.45454545454544</v>
      </c>
      <c r="R721" s="32">
        <v>102</v>
      </c>
      <c r="S721" s="33">
        <v>0.33</v>
      </c>
      <c r="T721" s="34">
        <f t="shared" si="23"/>
        <v>152.23880597014926</v>
      </c>
      <c r="U721" s="34">
        <f t="shared" si="24"/>
        <v>154.14179104477611</v>
      </c>
      <c r="V721" t="s">
        <v>79</v>
      </c>
      <c r="W721" s="32">
        <v>15</v>
      </c>
      <c r="X721" s="32" t="s">
        <v>80</v>
      </c>
      <c r="AD721" s="1">
        <v>195018759825</v>
      </c>
      <c r="AN721">
        <v>30</v>
      </c>
      <c r="AO721" t="s">
        <v>81</v>
      </c>
    </row>
    <row r="722" spans="1:41" ht="120" x14ac:dyDescent="0.25">
      <c r="A722" s="2">
        <v>195018759979</v>
      </c>
      <c r="B722" t="s">
        <v>71</v>
      </c>
      <c r="C722" t="s">
        <v>72</v>
      </c>
      <c r="D722" t="s">
        <v>2196</v>
      </c>
      <c r="E722" t="s">
        <v>2197</v>
      </c>
      <c r="F722">
        <v>316210</v>
      </c>
      <c r="G722" s="35" t="s">
        <v>2149</v>
      </c>
      <c r="H722" s="31" t="s">
        <v>2198</v>
      </c>
      <c r="J722" t="s">
        <v>77</v>
      </c>
      <c r="M722">
        <v>200</v>
      </c>
      <c r="P722" t="s">
        <v>78</v>
      </c>
      <c r="Q722" s="55">
        <v>185.45454545454544</v>
      </c>
      <c r="R722" s="32">
        <v>102</v>
      </c>
      <c r="S722" s="33">
        <v>0.33</v>
      </c>
      <c r="T722" s="34">
        <f t="shared" si="23"/>
        <v>152.23880597014926</v>
      </c>
      <c r="U722" s="34">
        <f t="shared" si="24"/>
        <v>154.14179104477611</v>
      </c>
      <c r="V722" t="s">
        <v>79</v>
      </c>
      <c r="W722" s="32">
        <v>15</v>
      </c>
      <c r="X722" s="32" t="s">
        <v>80</v>
      </c>
      <c r="AD722" s="1">
        <v>195018759979</v>
      </c>
      <c r="AN722">
        <v>30</v>
      </c>
      <c r="AO722" t="s">
        <v>81</v>
      </c>
    </row>
    <row r="723" spans="1:41" ht="120" x14ac:dyDescent="0.25">
      <c r="A723" s="2">
        <v>195018759832</v>
      </c>
      <c r="B723" t="s">
        <v>71</v>
      </c>
      <c r="C723" t="s">
        <v>72</v>
      </c>
      <c r="D723" t="s">
        <v>2199</v>
      </c>
      <c r="E723" t="s">
        <v>2200</v>
      </c>
      <c r="F723">
        <v>316210</v>
      </c>
      <c r="G723" s="35" t="s">
        <v>2149</v>
      </c>
      <c r="H723" s="31" t="s">
        <v>2201</v>
      </c>
      <c r="J723" t="s">
        <v>77</v>
      </c>
      <c r="M723">
        <v>200</v>
      </c>
      <c r="P723" t="s">
        <v>78</v>
      </c>
      <c r="Q723" s="55">
        <v>185.45454545454544</v>
      </c>
      <c r="R723" s="32">
        <v>102</v>
      </c>
      <c r="S723" s="33">
        <v>0.33</v>
      </c>
      <c r="T723" s="34">
        <f t="shared" si="23"/>
        <v>152.23880597014926</v>
      </c>
      <c r="U723" s="34">
        <f t="shared" si="24"/>
        <v>154.14179104477611</v>
      </c>
      <c r="V723" t="s">
        <v>79</v>
      </c>
      <c r="W723" s="32">
        <v>15</v>
      </c>
      <c r="X723" s="32" t="s">
        <v>80</v>
      </c>
      <c r="AD723" s="1">
        <v>195018759832</v>
      </c>
      <c r="AN723">
        <v>30</v>
      </c>
      <c r="AO723" t="s">
        <v>81</v>
      </c>
    </row>
    <row r="724" spans="1:41" ht="120" x14ac:dyDescent="0.25">
      <c r="A724" s="2">
        <v>195018759986</v>
      </c>
      <c r="B724" t="s">
        <v>71</v>
      </c>
      <c r="C724" t="s">
        <v>72</v>
      </c>
      <c r="D724" t="s">
        <v>2202</v>
      </c>
      <c r="E724" t="s">
        <v>2203</v>
      </c>
      <c r="F724">
        <v>316210</v>
      </c>
      <c r="G724" s="35" t="s">
        <v>2149</v>
      </c>
      <c r="H724" s="31" t="s">
        <v>2204</v>
      </c>
      <c r="J724" t="s">
        <v>77</v>
      </c>
      <c r="M724">
        <v>200</v>
      </c>
      <c r="P724" t="s">
        <v>78</v>
      </c>
      <c r="Q724" s="55">
        <v>185.45454545454544</v>
      </c>
      <c r="R724" s="32">
        <v>102</v>
      </c>
      <c r="S724" s="33">
        <v>0.33</v>
      </c>
      <c r="T724" s="34">
        <f t="shared" si="23"/>
        <v>152.23880597014926</v>
      </c>
      <c r="U724" s="34">
        <f t="shared" si="24"/>
        <v>154.14179104477611</v>
      </c>
      <c r="V724" t="s">
        <v>79</v>
      </c>
      <c r="W724" s="32">
        <v>15</v>
      </c>
      <c r="X724" s="32" t="s">
        <v>80</v>
      </c>
      <c r="AD724" s="1">
        <v>195018759986</v>
      </c>
      <c r="AN724">
        <v>30</v>
      </c>
      <c r="AO724" t="s">
        <v>81</v>
      </c>
    </row>
    <row r="725" spans="1:41" ht="120" x14ac:dyDescent="0.25">
      <c r="A725" s="2">
        <v>195018759849</v>
      </c>
      <c r="B725" t="s">
        <v>71</v>
      </c>
      <c r="C725" t="s">
        <v>72</v>
      </c>
      <c r="D725" t="s">
        <v>2205</v>
      </c>
      <c r="E725" t="s">
        <v>2206</v>
      </c>
      <c r="F725">
        <v>316210</v>
      </c>
      <c r="G725" s="35" t="s">
        <v>2149</v>
      </c>
      <c r="H725" s="31" t="s">
        <v>2207</v>
      </c>
      <c r="J725" t="s">
        <v>77</v>
      </c>
      <c r="M725">
        <v>200</v>
      </c>
      <c r="P725" t="s">
        <v>78</v>
      </c>
      <c r="Q725" s="55">
        <v>185.45454545454544</v>
      </c>
      <c r="R725" s="32">
        <v>102</v>
      </c>
      <c r="S725" s="33">
        <v>0.33</v>
      </c>
      <c r="T725" s="34">
        <f t="shared" si="23"/>
        <v>152.23880597014926</v>
      </c>
      <c r="U725" s="34">
        <f t="shared" si="24"/>
        <v>154.14179104477611</v>
      </c>
      <c r="V725" t="s">
        <v>79</v>
      </c>
      <c r="W725" s="32">
        <v>15</v>
      </c>
      <c r="X725" s="32" t="s">
        <v>80</v>
      </c>
      <c r="AD725" s="1">
        <v>195018759849</v>
      </c>
      <c r="AN725">
        <v>30</v>
      </c>
      <c r="AO725" t="s">
        <v>81</v>
      </c>
    </row>
    <row r="726" spans="1:41" ht="120" x14ac:dyDescent="0.25">
      <c r="A726" s="2">
        <v>195018759993</v>
      </c>
      <c r="B726" t="s">
        <v>71</v>
      </c>
      <c r="C726" t="s">
        <v>72</v>
      </c>
      <c r="D726" t="s">
        <v>2208</v>
      </c>
      <c r="E726" t="s">
        <v>2209</v>
      </c>
      <c r="F726">
        <v>316210</v>
      </c>
      <c r="G726" s="35" t="s">
        <v>2149</v>
      </c>
      <c r="H726" s="31" t="s">
        <v>2210</v>
      </c>
      <c r="J726" t="s">
        <v>77</v>
      </c>
      <c r="M726">
        <v>200</v>
      </c>
      <c r="P726" t="s">
        <v>78</v>
      </c>
      <c r="Q726" s="55">
        <v>185.45454545454544</v>
      </c>
      <c r="R726" s="32">
        <v>102</v>
      </c>
      <c r="S726" s="33">
        <v>0.33</v>
      </c>
      <c r="T726" s="34">
        <f t="shared" si="23"/>
        <v>152.23880597014926</v>
      </c>
      <c r="U726" s="34">
        <f t="shared" si="24"/>
        <v>154.14179104477611</v>
      </c>
      <c r="V726" t="s">
        <v>79</v>
      </c>
      <c r="W726" s="32">
        <v>15</v>
      </c>
      <c r="X726" s="32" t="s">
        <v>80</v>
      </c>
      <c r="AD726" s="1">
        <v>195018759993</v>
      </c>
      <c r="AN726">
        <v>30</v>
      </c>
      <c r="AO726" t="s">
        <v>81</v>
      </c>
    </row>
    <row r="727" spans="1:41" ht="120" x14ac:dyDescent="0.25">
      <c r="A727" s="2">
        <v>195018759856</v>
      </c>
      <c r="B727" t="s">
        <v>71</v>
      </c>
      <c r="C727" t="s">
        <v>72</v>
      </c>
      <c r="D727" t="s">
        <v>2211</v>
      </c>
      <c r="E727" t="s">
        <v>2212</v>
      </c>
      <c r="F727">
        <v>316210</v>
      </c>
      <c r="G727" s="35" t="s">
        <v>2149</v>
      </c>
      <c r="H727" s="31" t="s">
        <v>2213</v>
      </c>
      <c r="J727" t="s">
        <v>77</v>
      </c>
      <c r="M727">
        <v>200</v>
      </c>
      <c r="P727" t="s">
        <v>78</v>
      </c>
      <c r="Q727" s="55">
        <v>185.45454545454544</v>
      </c>
      <c r="R727" s="32">
        <v>102</v>
      </c>
      <c r="S727" s="33">
        <v>0.33</v>
      </c>
      <c r="T727" s="34">
        <f t="shared" si="23"/>
        <v>152.23880597014926</v>
      </c>
      <c r="U727" s="34">
        <f t="shared" si="24"/>
        <v>154.14179104477611</v>
      </c>
      <c r="V727" t="s">
        <v>79</v>
      </c>
      <c r="W727" s="32">
        <v>15</v>
      </c>
      <c r="X727" s="32" t="s">
        <v>80</v>
      </c>
      <c r="AD727" s="1">
        <v>195018759856</v>
      </c>
      <c r="AN727">
        <v>30</v>
      </c>
      <c r="AO727" t="s">
        <v>81</v>
      </c>
    </row>
    <row r="728" spans="1:41" ht="120" x14ac:dyDescent="0.25">
      <c r="A728" s="2">
        <v>195018760005</v>
      </c>
      <c r="B728" t="s">
        <v>71</v>
      </c>
      <c r="C728" t="s">
        <v>72</v>
      </c>
      <c r="D728" t="s">
        <v>2214</v>
      </c>
      <c r="E728" t="s">
        <v>2215</v>
      </c>
      <c r="F728">
        <v>316210</v>
      </c>
      <c r="G728" s="35" t="s">
        <v>2149</v>
      </c>
      <c r="H728" s="31" t="s">
        <v>2216</v>
      </c>
      <c r="J728" t="s">
        <v>77</v>
      </c>
      <c r="M728">
        <v>200</v>
      </c>
      <c r="P728" t="s">
        <v>78</v>
      </c>
      <c r="Q728" s="55">
        <v>185.45454545454544</v>
      </c>
      <c r="R728" s="32">
        <v>102</v>
      </c>
      <c r="S728" s="33">
        <v>0.33</v>
      </c>
      <c r="T728" s="34">
        <f t="shared" si="23"/>
        <v>152.23880597014926</v>
      </c>
      <c r="U728" s="34">
        <f t="shared" si="24"/>
        <v>154.14179104477611</v>
      </c>
      <c r="V728" t="s">
        <v>79</v>
      </c>
      <c r="W728" s="32">
        <v>15</v>
      </c>
      <c r="X728" s="32" t="s">
        <v>80</v>
      </c>
      <c r="AD728" s="1">
        <v>195018760005</v>
      </c>
      <c r="AN728">
        <v>30</v>
      </c>
      <c r="AO728" t="s">
        <v>81</v>
      </c>
    </row>
    <row r="729" spans="1:41" ht="120" x14ac:dyDescent="0.25">
      <c r="A729" s="2">
        <v>195018759863</v>
      </c>
      <c r="B729" t="s">
        <v>71</v>
      </c>
      <c r="C729" t="s">
        <v>72</v>
      </c>
      <c r="D729" t="s">
        <v>2217</v>
      </c>
      <c r="E729" t="s">
        <v>2218</v>
      </c>
      <c r="F729">
        <v>316210</v>
      </c>
      <c r="G729" s="35" t="s">
        <v>2149</v>
      </c>
      <c r="H729" s="31" t="s">
        <v>2219</v>
      </c>
      <c r="J729" t="s">
        <v>77</v>
      </c>
      <c r="M729">
        <v>200</v>
      </c>
      <c r="P729" t="s">
        <v>78</v>
      </c>
      <c r="Q729" s="55">
        <v>185.45454545454544</v>
      </c>
      <c r="R729" s="32">
        <v>102</v>
      </c>
      <c r="S729" s="33">
        <v>0.33</v>
      </c>
      <c r="T729" s="34">
        <f t="shared" si="23"/>
        <v>152.23880597014926</v>
      </c>
      <c r="U729" s="34">
        <f t="shared" si="24"/>
        <v>154.14179104477611</v>
      </c>
      <c r="V729" t="s">
        <v>79</v>
      </c>
      <c r="W729" s="32">
        <v>15</v>
      </c>
      <c r="X729" s="32" t="s">
        <v>80</v>
      </c>
      <c r="AD729" s="1">
        <v>195018759863</v>
      </c>
      <c r="AN729">
        <v>30</v>
      </c>
      <c r="AO729" t="s">
        <v>81</v>
      </c>
    </row>
    <row r="730" spans="1:41" ht="120" x14ac:dyDescent="0.25">
      <c r="A730" s="2">
        <v>195018760012</v>
      </c>
      <c r="B730" t="s">
        <v>71</v>
      </c>
      <c r="C730" t="s">
        <v>72</v>
      </c>
      <c r="D730" t="s">
        <v>2220</v>
      </c>
      <c r="E730" t="s">
        <v>2221</v>
      </c>
      <c r="F730">
        <v>316210</v>
      </c>
      <c r="G730" s="35" t="s">
        <v>2149</v>
      </c>
      <c r="H730" s="31" t="s">
        <v>2222</v>
      </c>
      <c r="J730" t="s">
        <v>77</v>
      </c>
      <c r="M730">
        <v>200</v>
      </c>
      <c r="P730" t="s">
        <v>78</v>
      </c>
      <c r="Q730" s="55">
        <v>185.45454545454544</v>
      </c>
      <c r="R730" s="32">
        <v>102</v>
      </c>
      <c r="S730" s="33">
        <v>0.33</v>
      </c>
      <c r="T730" s="34">
        <f t="shared" si="23"/>
        <v>152.23880597014926</v>
      </c>
      <c r="U730" s="34">
        <f t="shared" si="24"/>
        <v>154.14179104477611</v>
      </c>
      <c r="V730" t="s">
        <v>79</v>
      </c>
      <c r="W730" s="32">
        <v>15</v>
      </c>
      <c r="X730" s="32" t="s">
        <v>80</v>
      </c>
      <c r="AD730" s="1">
        <v>195018760012</v>
      </c>
      <c r="AN730">
        <v>30</v>
      </c>
      <c r="AO730" t="s">
        <v>81</v>
      </c>
    </row>
    <row r="731" spans="1:41" ht="120" x14ac:dyDescent="0.25">
      <c r="A731" s="2">
        <v>195018759870</v>
      </c>
      <c r="B731" t="s">
        <v>71</v>
      </c>
      <c r="C731" t="s">
        <v>72</v>
      </c>
      <c r="D731" t="s">
        <v>2223</v>
      </c>
      <c r="E731" t="s">
        <v>2224</v>
      </c>
      <c r="F731">
        <v>316210</v>
      </c>
      <c r="G731" s="35" t="s">
        <v>2149</v>
      </c>
      <c r="H731" s="31" t="s">
        <v>2225</v>
      </c>
      <c r="J731" t="s">
        <v>77</v>
      </c>
      <c r="M731">
        <v>200</v>
      </c>
      <c r="P731" t="s">
        <v>78</v>
      </c>
      <c r="Q731" s="55">
        <v>185.45454545454544</v>
      </c>
      <c r="R731" s="32">
        <v>102</v>
      </c>
      <c r="S731" s="33">
        <v>0.33</v>
      </c>
      <c r="T731" s="34">
        <f t="shared" si="23"/>
        <v>152.23880597014926</v>
      </c>
      <c r="U731" s="34">
        <f t="shared" si="24"/>
        <v>154.14179104477611</v>
      </c>
      <c r="V731" t="s">
        <v>79</v>
      </c>
      <c r="W731" s="32">
        <v>15</v>
      </c>
      <c r="X731" s="32" t="s">
        <v>80</v>
      </c>
      <c r="AD731" s="1">
        <v>195018759870</v>
      </c>
      <c r="AN731">
        <v>30</v>
      </c>
      <c r="AO731" t="s">
        <v>81</v>
      </c>
    </row>
    <row r="732" spans="1:41" ht="120" x14ac:dyDescent="0.25">
      <c r="A732" s="2">
        <v>195018760029</v>
      </c>
      <c r="B732" t="s">
        <v>71</v>
      </c>
      <c r="C732" t="s">
        <v>72</v>
      </c>
      <c r="D732" t="s">
        <v>2226</v>
      </c>
      <c r="E732" t="s">
        <v>2227</v>
      </c>
      <c r="F732">
        <v>316210</v>
      </c>
      <c r="G732" s="35" t="s">
        <v>2149</v>
      </c>
      <c r="H732" s="31" t="s">
        <v>2228</v>
      </c>
      <c r="J732" t="s">
        <v>77</v>
      </c>
      <c r="M732">
        <v>200</v>
      </c>
      <c r="P732" t="s">
        <v>78</v>
      </c>
      <c r="Q732" s="55">
        <v>185.45454545454544</v>
      </c>
      <c r="R732" s="32">
        <v>102</v>
      </c>
      <c r="S732" s="33">
        <v>0.33</v>
      </c>
      <c r="T732" s="34">
        <f t="shared" si="23"/>
        <v>152.23880597014926</v>
      </c>
      <c r="U732" s="34">
        <f t="shared" si="24"/>
        <v>154.14179104477611</v>
      </c>
      <c r="V732" t="s">
        <v>79</v>
      </c>
      <c r="W732" s="32">
        <v>15</v>
      </c>
      <c r="X732" s="32" t="s">
        <v>80</v>
      </c>
      <c r="AD732" s="1">
        <v>195018760029</v>
      </c>
      <c r="AN732">
        <v>30</v>
      </c>
      <c r="AO732" t="s">
        <v>81</v>
      </c>
    </row>
    <row r="733" spans="1:41" ht="120" x14ac:dyDescent="0.25">
      <c r="A733" s="2">
        <v>195018759887</v>
      </c>
      <c r="B733" t="s">
        <v>71</v>
      </c>
      <c r="C733" t="s">
        <v>72</v>
      </c>
      <c r="D733" t="s">
        <v>2229</v>
      </c>
      <c r="E733" t="s">
        <v>2230</v>
      </c>
      <c r="F733">
        <v>316210</v>
      </c>
      <c r="G733" s="35" t="s">
        <v>2149</v>
      </c>
      <c r="H733" s="31" t="s">
        <v>2231</v>
      </c>
      <c r="J733" t="s">
        <v>77</v>
      </c>
      <c r="M733">
        <v>200</v>
      </c>
      <c r="P733" t="s">
        <v>78</v>
      </c>
      <c r="Q733" s="55">
        <v>185.45454545454544</v>
      </c>
      <c r="R733" s="32">
        <v>102</v>
      </c>
      <c r="S733" s="33">
        <v>0.33</v>
      </c>
      <c r="T733" s="34">
        <f t="shared" si="23"/>
        <v>152.23880597014926</v>
      </c>
      <c r="U733" s="34">
        <f t="shared" si="24"/>
        <v>154.14179104477611</v>
      </c>
      <c r="V733" t="s">
        <v>79</v>
      </c>
      <c r="W733" s="32">
        <v>15</v>
      </c>
      <c r="X733" s="32" t="s">
        <v>80</v>
      </c>
      <c r="AD733" s="1">
        <v>195018759887</v>
      </c>
      <c r="AN733">
        <v>30</v>
      </c>
      <c r="AO733" t="s">
        <v>81</v>
      </c>
    </row>
    <row r="734" spans="1:41" ht="120" x14ac:dyDescent="0.25">
      <c r="A734" s="2">
        <v>195018760036</v>
      </c>
      <c r="B734" t="s">
        <v>71</v>
      </c>
      <c r="C734" t="s">
        <v>72</v>
      </c>
      <c r="D734" t="s">
        <v>2232</v>
      </c>
      <c r="E734" t="s">
        <v>2233</v>
      </c>
      <c r="F734">
        <v>316210</v>
      </c>
      <c r="G734" s="35" t="s">
        <v>2149</v>
      </c>
      <c r="H734" s="31" t="s">
        <v>2234</v>
      </c>
      <c r="J734" t="s">
        <v>77</v>
      </c>
      <c r="M734">
        <v>200</v>
      </c>
      <c r="P734" t="s">
        <v>78</v>
      </c>
      <c r="Q734" s="55">
        <v>185.45454545454544</v>
      </c>
      <c r="R734" s="32">
        <v>102</v>
      </c>
      <c r="S734" s="33">
        <v>0.33</v>
      </c>
      <c r="T734" s="34">
        <f t="shared" si="23"/>
        <v>152.23880597014926</v>
      </c>
      <c r="U734" s="34">
        <f t="shared" si="24"/>
        <v>154.14179104477611</v>
      </c>
      <c r="V734" t="s">
        <v>79</v>
      </c>
      <c r="W734" s="32">
        <v>15</v>
      </c>
      <c r="X734" s="32" t="s">
        <v>80</v>
      </c>
      <c r="AD734" s="1">
        <v>195018760036</v>
      </c>
      <c r="AN734">
        <v>30</v>
      </c>
      <c r="AO734" t="s">
        <v>81</v>
      </c>
    </row>
    <row r="735" spans="1:41" ht="120" x14ac:dyDescent="0.25">
      <c r="A735" s="2">
        <v>195018759894</v>
      </c>
      <c r="B735" t="s">
        <v>71</v>
      </c>
      <c r="C735" t="s">
        <v>72</v>
      </c>
      <c r="D735" t="s">
        <v>2235</v>
      </c>
      <c r="E735" t="s">
        <v>2236</v>
      </c>
      <c r="F735">
        <v>316210</v>
      </c>
      <c r="G735" s="35" t="s">
        <v>2149</v>
      </c>
      <c r="H735" s="31" t="s">
        <v>2237</v>
      </c>
      <c r="J735" t="s">
        <v>77</v>
      </c>
      <c r="M735">
        <v>200</v>
      </c>
      <c r="P735" t="s">
        <v>78</v>
      </c>
      <c r="Q735" s="55">
        <v>185.45454545454544</v>
      </c>
      <c r="R735" s="32">
        <v>102</v>
      </c>
      <c r="S735" s="33">
        <v>0.33</v>
      </c>
      <c r="T735" s="34">
        <f t="shared" si="23"/>
        <v>152.23880597014926</v>
      </c>
      <c r="U735" s="34">
        <f t="shared" si="24"/>
        <v>154.14179104477611</v>
      </c>
      <c r="V735" t="s">
        <v>79</v>
      </c>
      <c r="W735" s="32">
        <v>15</v>
      </c>
      <c r="X735" s="32" t="s">
        <v>80</v>
      </c>
      <c r="AD735" s="1">
        <v>195018759894</v>
      </c>
      <c r="AN735">
        <v>30</v>
      </c>
      <c r="AO735" t="s">
        <v>81</v>
      </c>
    </row>
    <row r="736" spans="1:41" ht="120" x14ac:dyDescent="0.25">
      <c r="A736" s="2">
        <v>195018760043</v>
      </c>
      <c r="B736" t="s">
        <v>71</v>
      </c>
      <c r="C736" t="s">
        <v>72</v>
      </c>
      <c r="D736" t="s">
        <v>2238</v>
      </c>
      <c r="E736" t="s">
        <v>2239</v>
      </c>
      <c r="F736">
        <v>316210</v>
      </c>
      <c r="G736" s="35" t="s">
        <v>2149</v>
      </c>
      <c r="H736" s="31" t="s">
        <v>2240</v>
      </c>
      <c r="J736" t="s">
        <v>77</v>
      </c>
      <c r="M736">
        <v>200</v>
      </c>
      <c r="P736" t="s">
        <v>78</v>
      </c>
      <c r="Q736" s="55">
        <v>185.45454545454544</v>
      </c>
      <c r="R736" s="32">
        <v>102</v>
      </c>
      <c r="S736" s="33">
        <v>0.33</v>
      </c>
      <c r="T736" s="34">
        <f t="shared" si="23"/>
        <v>152.23880597014926</v>
      </c>
      <c r="U736" s="34">
        <f t="shared" si="24"/>
        <v>154.14179104477611</v>
      </c>
      <c r="V736" t="s">
        <v>79</v>
      </c>
      <c r="W736" s="32">
        <v>15</v>
      </c>
      <c r="X736" s="32" t="s">
        <v>80</v>
      </c>
      <c r="AD736" s="1">
        <v>195018760043</v>
      </c>
      <c r="AN736">
        <v>30</v>
      </c>
      <c r="AO736" t="s">
        <v>81</v>
      </c>
    </row>
    <row r="737" spans="1:41" ht="120" x14ac:dyDescent="0.25">
      <c r="A737" s="2">
        <v>195018759900</v>
      </c>
      <c r="B737" t="s">
        <v>71</v>
      </c>
      <c r="C737" t="s">
        <v>72</v>
      </c>
      <c r="D737" t="s">
        <v>2241</v>
      </c>
      <c r="E737" t="s">
        <v>2242</v>
      </c>
      <c r="F737">
        <v>316210</v>
      </c>
      <c r="G737" s="35" t="s">
        <v>2149</v>
      </c>
      <c r="H737" s="31" t="s">
        <v>2243</v>
      </c>
      <c r="J737" t="s">
        <v>77</v>
      </c>
      <c r="M737">
        <v>200</v>
      </c>
      <c r="P737" t="s">
        <v>78</v>
      </c>
      <c r="Q737" s="55">
        <v>185.45454545454544</v>
      </c>
      <c r="R737" s="32">
        <v>102</v>
      </c>
      <c r="S737" s="33">
        <v>0.33</v>
      </c>
      <c r="T737" s="34">
        <f t="shared" si="23"/>
        <v>152.23880597014926</v>
      </c>
      <c r="U737" s="34">
        <f t="shared" si="24"/>
        <v>154.14179104477611</v>
      </c>
      <c r="V737" t="s">
        <v>79</v>
      </c>
      <c r="W737" s="32">
        <v>15</v>
      </c>
      <c r="X737" s="32" t="s">
        <v>80</v>
      </c>
      <c r="AD737" s="1">
        <v>195018759900</v>
      </c>
      <c r="AN737">
        <v>30</v>
      </c>
      <c r="AO737" t="s">
        <v>81</v>
      </c>
    </row>
    <row r="738" spans="1:41" ht="120" x14ac:dyDescent="0.25">
      <c r="A738" s="2">
        <v>195018760050</v>
      </c>
      <c r="B738" t="s">
        <v>71</v>
      </c>
      <c r="C738" t="s">
        <v>72</v>
      </c>
      <c r="D738" t="s">
        <v>2244</v>
      </c>
      <c r="E738" t="s">
        <v>2245</v>
      </c>
      <c r="F738">
        <v>316210</v>
      </c>
      <c r="G738" s="35" t="s">
        <v>2149</v>
      </c>
      <c r="H738" s="31" t="s">
        <v>2246</v>
      </c>
      <c r="J738" t="s">
        <v>77</v>
      </c>
      <c r="M738">
        <v>200</v>
      </c>
      <c r="P738" t="s">
        <v>78</v>
      </c>
      <c r="Q738" s="55">
        <v>185.45454545454544</v>
      </c>
      <c r="R738" s="32">
        <v>102</v>
      </c>
      <c r="S738" s="33">
        <v>0.33</v>
      </c>
      <c r="T738" s="34">
        <f t="shared" si="23"/>
        <v>152.23880597014926</v>
      </c>
      <c r="U738" s="34">
        <f t="shared" si="24"/>
        <v>154.14179104477611</v>
      </c>
      <c r="V738" t="s">
        <v>79</v>
      </c>
      <c r="W738" s="32">
        <v>15</v>
      </c>
      <c r="X738" s="32" t="s">
        <v>80</v>
      </c>
      <c r="AD738" s="1">
        <v>195018760050</v>
      </c>
      <c r="AN738">
        <v>30</v>
      </c>
      <c r="AO738" t="s">
        <v>81</v>
      </c>
    </row>
    <row r="739" spans="1:41" ht="120" x14ac:dyDescent="0.25">
      <c r="A739" s="2">
        <v>195018759917</v>
      </c>
      <c r="B739" t="s">
        <v>71</v>
      </c>
      <c r="C739" t="s">
        <v>72</v>
      </c>
      <c r="D739" t="s">
        <v>2247</v>
      </c>
      <c r="E739" t="s">
        <v>2248</v>
      </c>
      <c r="F739">
        <v>316210</v>
      </c>
      <c r="G739" s="35" t="s">
        <v>2149</v>
      </c>
      <c r="H739" s="31" t="s">
        <v>2249</v>
      </c>
      <c r="J739" t="s">
        <v>77</v>
      </c>
      <c r="M739">
        <v>200</v>
      </c>
      <c r="P739" t="s">
        <v>78</v>
      </c>
      <c r="Q739" s="55">
        <v>185.45454545454544</v>
      </c>
      <c r="R739" s="32">
        <v>102</v>
      </c>
      <c r="S739" s="33">
        <v>0.33</v>
      </c>
      <c r="T739" s="34">
        <f t="shared" si="23"/>
        <v>152.23880597014926</v>
      </c>
      <c r="U739" s="34">
        <f t="shared" si="24"/>
        <v>154.14179104477611</v>
      </c>
      <c r="V739" t="s">
        <v>79</v>
      </c>
      <c r="W739" s="32">
        <v>15</v>
      </c>
      <c r="X739" s="32" t="s">
        <v>80</v>
      </c>
      <c r="AD739" s="1">
        <v>195018759917</v>
      </c>
      <c r="AN739">
        <v>30</v>
      </c>
      <c r="AO739" t="s">
        <v>81</v>
      </c>
    </row>
    <row r="740" spans="1:41" ht="120" x14ac:dyDescent="0.25">
      <c r="A740" s="2">
        <v>195018760067</v>
      </c>
      <c r="B740" t="s">
        <v>71</v>
      </c>
      <c r="C740" t="s">
        <v>72</v>
      </c>
      <c r="D740" t="s">
        <v>2250</v>
      </c>
      <c r="E740" t="s">
        <v>2251</v>
      </c>
      <c r="F740">
        <v>316210</v>
      </c>
      <c r="G740" s="35" t="s">
        <v>2149</v>
      </c>
      <c r="H740" s="31" t="s">
        <v>2252</v>
      </c>
      <c r="J740" t="s">
        <v>77</v>
      </c>
      <c r="M740">
        <v>200</v>
      </c>
      <c r="P740" t="s">
        <v>78</v>
      </c>
      <c r="Q740" s="55">
        <v>185.45454545454544</v>
      </c>
      <c r="R740" s="32">
        <v>102</v>
      </c>
      <c r="S740" s="33">
        <v>0.33</v>
      </c>
      <c r="T740" s="34">
        <f t="shared" si="23"/>
        <v>152.23880597014926</v>
      </c>
      <c r="U740" s="34">
        <f t="shared" si="24"/>
        <v>154.14179104477611</v>
      </c>
      <c r="V740" t="s">
        <v>79</v>
      </c>
      <c r="W740" s="32">
        <v>15</v>
      </c>
      <c r="X740" s="32" t="s">
        <v>80</v>
      </c>
      <c r="AD740" s="1">
        <v>195018760067</v>
      </c>
      <c r="AN740">
        <v>30</v>
      </c>
      <c r="AO740" t="s">
        <v>81</v>
      </c>
    </row>
    <row r="741" spans="1:41" ht="120" x14ac:dyDescent="0.25">
      <c r="A741" s="2">
        <v>195018759924</v>
      </c>
      <c r="B741" t="s">
        <v>71</v>
      </c>
      <c r="C741" t="s">
        <v>72</v>
      </c>
      <c r="D741" t="s">
        <v>2253</v>
      </c>
      <c r="E741" t="s">
        <v>2254</v>
      </c>
      <c r="F741">
        <v>316210</v>
      </c>
      <c r="G741" s="35" t="s">
        <v>2149</v>
      </c>
      <c r="H741" s="31" t="s">
        <v>2255</v>
      </c>
      <c r="J741" t="s">
        <v>77</v>
      </c>
      <c r="M741">
        <v>200</v>
      </c>
      <c r="P741" t="s">
        <v>78</v>
      </c>
      <c r="Q741" s="55">
        <v>185.45454545454544</v>
      </c>
      <c r="R741" s="32">
        <v>102</v>
      </c>
      <c r="S741" s="33">
        <v>0.33</v>
      </c>
      <c r="T741" s="34">
        <f t="shared" si="23"/>
        <v>152.23880597014926</v>
      </c>
      <c r="U741" s="34">
        <f t="shared" si="24"/>
        <v>154.14179104477611</v>
      </c>
      <c r="V741" t="s">
        <v>79</v>
      </c>
      <c r="W741" s="32">
        <v>15</v>
      </c>
      <c r="X741" s="32" t="s">
        <v>80</v>
      </c>
      <c r="AD741" s="1">
        <v>195018759924</v>
      </c>
      <c r="AN741">
        <v>30</v>
      </c>
      <c r="AO741" t="s">
        <v>81</v>
      </c>
    </row>
    <row r="742" spans="1:41" ht="90" x14ac:dyDescent="0.25">
      <c r="A742" s="2">
        <v>195022166268</v>
      </c>
      <c r="B742" t="s">
        <v>71</v>
      </c>
      <c r="C742" t="s">
        <v>72</v>
      </c>
      <c r="D742" t="s">
        <v>2256</v>
      </c>
      <c r="E742" t="s">
        <v>2257</v>
      </c>
      <c r="F742">
        <v>316210</v>
      </c>
      <c r="G742" s="35" t="s">
        <v>2258</v>
      </c>
      <c r="H742" s="31" t="s">
        <v>2259</v>
      </c>
      <c r="J742" t="s">
        <v>77</v>
      </c>
      <c r="M742">
        <v>190</v>
      </c>
      <c r="P742" t="s">
        <v>78</v>
      </c>
      <c r="Q742" s="55">
        <v>201.81818181818181</v>
      </c>
      <c r="R742" s="32">
        <v>111</v>
      </c>
      <c r="S742" s="33">
        <v>0.33</v>
      </c>
      <c r="T742" s="34">
        <f t="shared" si="23"/>
        <v>165.67164179104481</v>
      </c>
      <c r="U742" s="34">
        <f t="shared" si="24"/>
        <v>167.74253731343285</v>
      </c>
      <c r="V742" t="s">
        <v>79</v>
      </c>
      <c r="W742" s="32">
        <v>15</v>
      </c>
      <c r="X742" s="32" t="s">
        <v>80</v>
      </c>
      <c r="AD742" s="1">
        <v>195022166268</v>
      </c>
      <c r="AN742">
        <v>30</v>
      </c>
      <c r="AO742" t="s">
        <v>81</v>
      </c>
    </row>
    <row r="743" spans="1:41" ht="90" x14ac:dyDescent="0.25">
      <c r="A743" s="2">
        <v>195022166121</v>
      </c>
      <c r="B743" t="s">
        <v>71</v>
      </c>
      <c r="C743" t="s">
        <v>72</v>
      </c>
      <c r="D743" t="s">
        <v>2260</v>
      </c>
      <c r="E743" t="s">
        <v>2261</v>
      </c>
      <c r="F743">
        <v>316210</v>
      </c>
      <c r="G743" s="35" t="s">
        <v>2258</v>
      </c>
      <c r="H743" s="31" t="s">
        <v>2262</v>
      </c>
      <c r="J743" t="s">
        <v>77</v>
      </c>
      <c r="M743">
        <v>190</v>
      </c>
      <c r="P743" t="s">
        <v>78</v>
      </c>
      <c r="Q743" s="55">
        <v>201.81818181818181</v>
      </c>
      <c r="R743" s="32">
        <v>111</v>
      </c>
      <c r="S743" s="33">
        <v>0.33</v>
      </c>
      <c r="T743" s="34">
        <f t="shared" si="23"/>
        <v>165.67164179104481</v>
      </c>
      <c r="U743" s="34">
        <f t="shared" si="24"/>
        <v>167.74253731343285</v>
      </c>
      <c r="V743" t="s">
        <v>79</v>
      </c>
      <c r="W743" s="32">
        <v>15</v>
      </c>
      <c r="X743" s="32" t="s">
        <v>80</v>
      </c>
      <c r="AD743" s="1">
        <v>195022166121</v>
      </c>
      <c r="AN743">
        <v>30</v>
      </c>
      <c r="AO743" t="s">
        <v>81</v>
      </c>
    </row>
    <row r="744" spans="1:41" ht="90" x14ac:dyDescent="0.25">
      <c r="A744" s="2">
        <v>195022166275</v>
      </c>
      <c r="B744" t="s">
        <v>71</v>
      </c>
      <c r="C744" t="s">
        <v>72</v>
      </c>
      <c r="D744" t="s">
        <v>2263</v>
      </c>
      <c r="E744" t="s">
        <v>2264</v>
      </c>
      <c r="F744">
        <v>316210</v>
      </c>
      <c r="G744" s="35" t="s">
        <v>2258</v>
      </c>
      <c r="H744" s="31" t="s">
        <v>2265</v>
      </c>
      <c r="J744" t="s">
        <v>77</v>
      </c>
      <c r="M744">
        <v>190</v>
      </c>
      <c r="P744" t="s">
        <v>78</v>
      </c>
      <c r="Q744" s="55">
        <v>201.81818181818181</v>
      </c>
      <c r="R744" s="32">
        <v>111</v>
      </c>
      <c r="S744" s="33">
        <v>0.33</v>
      </c>
      <c r="T744" s="34">
        <f t="shared" si="23"/>
        <v>165.67164179104481</v>
      </c>
      <c r="U744" s="34">
        <f t="shared" si="24"/>
        <v>167.74253731343285</v>
      </c>
      <c r="V744" t="s">
        <v>79</v>
      </c>
      <c r="W744" s="32">
        <v>15</v>
      </c>
      <c r="X744" s="32" t="s">
        <v>80</v>
      </c>
      <c r="AD744" s="1">
        <v>195022166275</v>
      </c>
      <c r="AN744">
        <v>30</v>
      </c>
      <c r="AO744" t="s">
        <v>81</v>
      </c>
    </row>
    <row r="745" spans="1:41" ht="90" x14ac:dyDescent="0.25">
      <c r="A745" s="2">
        <v>195022166138</v>
      </c>
      <c r="B745" t="s">
        <v>71</v>
      </c>
      <c r="C745" t="s">
        <v>72</v>
      </c>
      <c r="D745" t="s">
        <v>2266</v>
      </c>
      <c r="E745" t="s">
        <v>2267</v>
      </c>
      <c r="F745">
        <v>316210</v>
      </c>
      <c r="G745" s="35" t="s">
        <v>2258</v>
      </c>
      <c r="H745" s="31" t="s">
        <v>2268</v>
      </c>
      <c r="J745" t="s">
        <v>77</v>
      </c>
      <c r="M745">
        <v>190</v>
      </c>
      <c r="P745" t="s">
        <v>78</v>
      </c>
      <c r="Q745" s="55">
        <v>201.81818181818181</v>
      </c>
      <c r="R745" s="32">
        <v>111</v>
      </c>
      <c r="S745" s="33">
        <v>0.33</v>
      </c>
      <c r="T745" s="34">
        <f t="shared" si="23"/>
        <v>165.67164179104481</v>
      </c>
      <c r="U745" s="34">
        <f t="shared" si="24"/>
        <v>167.74253731343285</v>
      </c>
      <c r="V745" t="s">
        <v>79</v>
      </c>
      <c r="W745" s="32">
        <v>15</v>
      </c>
      <c r="X745" s="32" t="s">
        <v>80</v>
      </c>
      <c r="AD745" s="1">
        <v>195022166138</v>
      </c>
      <c r="AN745">
        <v>30</v>
      </c>
      <c r="AO745" t="s">
        <v>81</v>
      </c>
    </row>
    <row r="746" spans="1:41" ht="90" x14ac:dyDescent="0.25">
      <c r="A746" s="2">
        <v>195022166282</v>
      </c>
      <c r="B746" t="s">
        <v>71</v>
      </c>
      <c r="C746" t="s">
        <v>72</v>
      </c>
      <c r="D746" t="s">
        <v>2269</v>
      </c>
      <c r="E746" t="s">
        <v>2270</v>
      </c>
      <c r="F746">
        <v>316210</v>
      </c>
      <c r="G746" s="35" t="s">
        <v>2258</v>
      </c>
      <c r="H746" s="31" t="s">
        <v>2271</v>
      </c>
      <c r="J746" t="s">
        <v>77</v>
      </c>
      <c r="M746">
        <v>190</v>
      </c>
      <c r="P746" t="s">
        <v>78</v>
      </c>
      <c r="Q746" s="55">
        <v>201.81818181818181</v>
      </c>
      <c r="R746" s="32">
        <v>111</v>
      </c>
      <c r="S746" s="33">
        <v>0.33</v>
      </c>
      <c r="T746" s="34">
        <f t="shared" si="23"/>
        <v>165.67164179104481</v>
      </c>
      <c r="U746" s="34">
        <f t="shared" si="24"/>
        <v>167.74253731343285</v>
      </c>
      <c r="V746" t="s">
        <v>79</v>
      </c>
      <c r="W746" s="32">
        <v>15</v>
      </c>
      <c r="X746" s="32" t="s">
        <v>80</v>
      </c>
      <c r="AD746" s="1">
        <v>195022166282</v>
      </c>
      <c r="AN746">
        <v>30</v>
      </c>
      <c r="AO746" t="s">
        <v>81</v>
      </c>
    </row>
    <row r="747" spans="1:41" ht="90" x14ac:dyDescent="0.25">
      <c r="A747" s="2">
        <v>195022166145</v>
      </c>
      <c r="B747" t="s">
        <v>71</v>
      </c>
      <c r="C747" t="s">
        <v>72</v>
      </c>
      <c r="D747" t="s">
        <v>2272</v>
      </c>
      <c r="E747" t="s">
        <v>2273</v>
      </c>
      <c r="F747">
        <v>316210</v>
      </c>
      <c r="G747" s="35" t="s">
        <v>2258</v>
      </c>
      <c r="H747" s="31" t="s">
        <v>2274</v>
      </c>
      <c r="J747" t="s">
        <v>77</v>
      </c>
      <c r="M747">
        <v>190</v>
      </c>
      <c r="P747" t="s">
        <v>78</v>
      </c>
      <c r="Q747" s="55">
        <v>201.81818181818181</v>
      </c>
      <c r="R747" s="32">
        <v>111</v>
      </c>
      <c r="S747" s="33">
        <v>0.33</v>
      </c>
      <c r="T747" s="34">
        <f t="shared" si="23"/>
        <v>165.67164179104481</v>
      </c>
      <c r="U747" s="34">
        <f t="shared" si="24"/>
        <v>167.74253731343285</v>
      </c>
      <c r="V747" t="s">
        <v>79</v>
      </c>
      <c r="W747" s="32">
        <v>15</v>
      </c>
      <c r="X747" s="32" t="s">
        <v>80</v>
      </c>
      <c r="AD747" s="1">
        <v>195022166145</v>
      </c>
      <c r="AN747">
        <v>30</v>
      </c>
      <c r="AO747" t="s">
        <v>81</v>
      </c>
    </row>
    <row r="748" spans="1:41" ht="90" x14ac:dyDescent="0.25">
      <c r="A748" s="2">
        <v>195022166299</v>
      </c>
      <c r="B748" t="s">
        <v>71</v>
      </c>
      <c r="C748" t="s">
        <v>72</v>
      </c>
      <c r="D748" t="s">
        <v>2275</v>
      </c>
      <c r="E748" t="s">
        <v>2276</v>
      </c>
      <c r="F748">
        <v>316210</v>
      </c>
      <c r="G748" s="35" t="s">
        <v>2258</v>
      </c>
      <c r="H748" s="31" t="s">
        <v>2277</v>
      </c>
      <c r="J748" t="s">
        <v>77</v>
      </c>
      <c r="M748">
        <v>190</v>
      </c>
      <c r="P748" t="s">
        <v>78</v>
      </c>
      <c r="Q748" s="55">
        <v>201.81818181818181</v>
      </c>
      <c r="R748" s="32">
        <v>111</v>
      </c>
      <c r="S748" s="33">
        <v>0.33</v>
      </c>
      <c r="T748" s="34">
        <f t="shared" si="23"/>
        <v>165.67164179104481</v>
      </c>
      <c r="U748" s="34">
        <f t="shared" si="24"/>
        <v>167.74253731343285</v>
      </c>
      <c r="V748" t="s">
        <v>79</v>
      </c>
      <c r="W748" s="32">
        <v>15</v>
      </c>
      <c r="X748" s="32" t="s">
        <v>80</v>
      </c>
      <c r="AD748" s="1">
        <v>195022166299</v>
      </c>
      <c r="AN748">
        <v>30</v>
      </c>
      <c r="AO748" t="s">
        <v>81</v>
      </c>
    </row>
    <row r="749" spans="1:41" ht="90" x14ac:dyDescent="0.25">
      <c r="A749" s="2">
        <v>195022166152</v>
      </c>
      <c r="B749" t="s">
        <v>71</v>
      </c>
      <c r="C749" t="s">
        <v>72</v>
      </c>
      <c r="D749" t="s">
        <v>2278</v>
      </c>
      <c r="E749" t="s">
        <v>2279</v>
      </c>
      <c r="F749">
        <v>316210</v>
      </c>
      <c r="G749" s="35" t="s">
        <v>2258</v>
      </c>
      <c r="H749" s="31" t="s">
        <v>2280</v>
      </c>
      <c r="J749" t="s">
        <v>77</v>
      </c>
      <c r="M749">
        <v>190</v>
      </c>
      <c r="P749" t="s">
        <v>78</v>
      </c>
      <c r="Q749" s="55">
        <v>201.81818181818181</v>
      </c>
      <c r="R749" s="32">
        <v>111</v>
      </c>
      <c r="S749" s="33">
        <v>0.33</v>
      </c>
      <c r="T749" s="34">
        <f t="shared" si="23"/>
        <v>165.67164179104481</v>
      </c>
      <c r="U749" s="34">
        <f t="shared" si="24"/>
        <v>167.74253731343285</v>
      </c>
      <c r="V749" t="s">
        <v>79</v>
      </c>
      <c r="W749" s="32">
        <v>15</v>
      </c>
      <c r="X749" s="32" t="s">
        <v>80</v>
      </c>
      <c r="AD749" s="1">
        <v>195022166152</v>
      </c>
      <c r="AN749">
        <v>30</v>
      </c>
      <c r="AO749" t="s">
        <v>81</v>
      </c>
    </row>
    <row r="750" spans="1:41" ht="90" x14ac:dyDescent="0.25">
      <c r="A750" s="2">
        <v>195022166305</v>
      </c>
      <c r="B750" t="s">
        <v>71</v>
      </c>
      <c r="C750" t="s">
        <v>72</v>
      </c>
      <c r="D750" t="s">
        <v>2281</v>
      </c>
      <c r="E750" t="s">
        <v>2282</v>
      </c>
      <c r="F750">
        <v>316210</v>
      </c>
      <c r="G750" s="35" t="s">
        <v>2258</v>
      </c>
      <c r="H750" s="31" t="s">
        <v>2283</v>
      </c>
      <c r="J750" t="s">
        <v>77</v>
      </c>
      <c r="M750">
        <v>190</v>
      </c>
      <c r="P750" t="s">
        <v>78</v>
      </c>
      <c r="Q750" s="55">
        <v>201.81818181818181</v>
      </c>
      <c r="R750" s="32">
        <v>111</v>
      </c>
      <c r="S750" s="33">
        <v>0.33</v>
      </c>
      <c r="T750" s="34">
        <f t="shared" si="23"/>
        <v>165.67164179104481</v>
      </c>
      <c r="U750" s="34">
        <f t="shared" si="24"/>
        <v>167.74253731343285</v>
      </c>
      <c r="V750" t="s">
        <v>79</v>
      </c>
      <c r="W750" s="32">
        <v>15</v>
      </c>
      <c r="X750" s="32" t="s">
        <v>80</v>
      </c>
      <c r="AD750" s="1">
        <v>195022166305</v>
      </c>
      <c r="AN750">
        <v>30</v>
      </c>
      <c r="AO750" t="s">
        <v>81</v>
      </c>
    </row>
    <row r="751" spans="1:41" ht="90" x14ac:dyDescent="0.25">
      <c r="A751" s="2">
        <v>195022166169</v>
      </c>
      <c r="B751" t="s">
        <v>71</v>
      </c>
      <c r="C751" t="s">
        <v>72</v>
      </c>
      <c r="D751" t="s">
        <v>2284</v>
      </c>
      <c r="E751" t="s">
        <v>2285</v>
      </c>
      <c r="F751">
        <v>316210</v>
      </c>
      <c r="G751" s="35" t="s">
        <v>2258</v>
      </c>
      <c r="H751" s="31" t="s">
        <v>2286</v>
      </c>
      <c r="J751" t="s">
        <v>77</v>
      </c>
      <c r="M751">
        <v>190</v>
      </c>
      <c r="P751" t="s">
        <v>78</v>
      </c>
      <c r="Q751" s="55">
        <v>201.81818181818181</v>
      </c>
      <c r="R751" s="32">
        <v>111</v>
      </c>
      <c r="S751" s="33">
        <v>0.33</v>
      </c>
      <c r="T751" s="34">
        <f t="shared" si="23"/>
        <v>165.67164179104481</v>
      </c>
      <c r="U751" s="34">
        <f t="shared" si="24"/>
        <v>167.74253731343285</v>
      </c>
      <c r="V751" t="s">
        <v>79</v>
      </c>
      <c r="W751" s="32">
        <v>15</v>
      </c>
      <c r="X751" s="32" t="s">
        <v>80</v>
      </c>
      <c r="AD751" s="1">
        <v>195022166169</v>
      </c>
      <c r="AN751">
        <v>30</v>
      </c>
      <c r="AO751" t="s">
        <v>81</v>
      </c>
    </row>
    <row r="752" spans="1:41" ht="90" x14ac:dyDescent="0.25">
      <c r="A752" s="2">
        <v>195022166312</v>
      </c>
      <c r="B752" t="s">
        <v>71</v>
      </c>
      <c r="C752" t="s">
        <v>72</v>
      </c>
      <c r="D752" t="s">
        <v>2287</v>
      </c>
      <c r="E752" t="s">
        <v>2288</v>
      </c>
      <c r="F752">
        <v>316210</v>
      </c>
      <c r="G752" s="35" t="s">
        <v>2258</v>
      </c>
      <c r="H752" s="31" t="s">
        <v>2289</v>
      </c>
      <c r="J752" t="s">
        <v>77</v>
      </c>
      <c r="M752">
        <v>190</v>
      </c>
      <c r="P752" t="s">
        <v>78</v>
      </c>
      <c r="Q752" s="55">
        <v>201.81818181818181</v>
      </c>
      <c r="R752" s="32">
        <v>111</v>
      </c>
      <c r="S752" s="33">
        <v>0.33</v>
      </c>
      <c r="T752" s="34">
        <f t="shared" si="23"/>
        <v>165.67164179104481</v>
      </c>
      <c r="U752" s="34">
        <f t="shared" si="24"/>
        <v>167.74253731343285</v>
      </c>
      <c r="V752" t="s">
        <v>79</v>
      </c>
      <c r="W752" s="32">
        <v>15</v>
      </c>
      <c r="X752" s="32" t="s">
        <v>80</v>
      </c>
      <c r="AD752" s="1">
        <v>195022166312</v>
      </c>
      <c r="AN752">
        <v>30</v>
      </c>
      <c r="AO752" t="s">
        <v>81</v>
      </c>
    </row>
    <row r="753" spans="1:41" ht="90" x14ac:dyDescent="0.25">
      <c r="A753" s="2">
        <v>195022166176</v>
      </c>
      <c r="B753" t="s">
        <v>71</v>
      </c>
      <c r="C753" t="s">
        <v>72</v>
      </c>
      <c r="D753" t="s">
        <v>2290</v>
      </c>
      <c r="E753" t="s">
        <v>2291</v>
      </c>
      <c r="F753">
        <v>316210</v>
      </c>
      <c r="G753" s="35" t="s">
        <v>2258</v>
      </c>
      <c r="H753" s="31" t="s">
        <v>2292</v>
      </c>
      <c r="J753" t="s">
        <v>77</v>
      </c>
      <c r="M753">
        <v>190</v>
      </c>
      <c r="P753" t="s">
        <v>78</v>
      </c>
      <c r="Q753" s="55">
        <v>201.81818181818181</v>
      </c>
      <c r="R753" s="32">
        <v>111</v>
      </c>
      <c r="S753" s="33">
        <v>0.33</v>
      </c>
      <c r="T753" s="34">
        <f t="shared" si="23"/>
        <v>165.67164179104481</v>
      </c>
      <c r="U753" s="34">
        <f t="shared" si="24"/>
        <v>167.74253731343285</v>
      </c>
      <c r="V753" t="s">
        <v>79</v>
      </c>
      <c r="W753" s="32">
        <v>15</v>
      </c>
      <c r="X753" s="32" t="s">
        <v>80</v>
      </c>
      <c r="AD753" s="1">
        <v>195022166176</v>
      </c>
      <c r="AN753">
        <v>30</v>
      </c>
      <c r="AO753" t="s">
        <v>81</v>
      </c>
    </row>
    <row r="754" spans="1:41" ht="90" x14ac:dyDescent="0.25">
      <c r="A754" s="2">
        <v>195022166329</v>
      </c>
      <c r="B754" t="s">
        <v>71</v>
      </c>
      <c r="C754" t="s">
        <v>72</v>
      </c>
      <c r="D754" t="s">
        <v>2293</v>
      </c>
      <c r="E754" t="s">
        <v>2294</v>
      </c>
      <c r="F754">
        <v>316210</v>
      </c>
      <c r="G754" s="35" t="s">
        <v>2258</v>
      </c>
      <c r="H754" s="31" t="s">
        <v>2295</v>
      </c>
      <c r="J754" t="s">
        <v>77</v>
      </c>
      <c r="M754">
        <v>190</v>
      </c>
      <c r="P754" t="s">
        <v>78</v>
      </c>
      <c r="Q754" s="55">
        <v>201.81818181818181</v>
      </c>
      <c r="R754" s="32">
        <v>111</v>
      </c>
      <c r="S754" s="33">
        <v>0.33</v>
      </c>
      <c r="T754" s="34">
        <f t="shared" si="23"/>
        <v>165.67164179104481</v>
      </c>
      <c r="U754" s="34">
        <f t="shared" si="24"/>
        <v>167.74253731343285</v>
      </c>
      <c r="V754" t="s">
        <v>79</v>
      </c>
      <c r="W754" s="32">
        <v>15</v>
      </c>
      <c r="X754" s="32" t="s">
        <v>80</v>
      </c>
      <c r="AD754" s="1">
        <v>195022166329</v>
      </c>
      <c r="AN754">
        <v>30</v>
      </c>
      <c r="AO754" t="s">
        <v>81</v>
      </c>
    </row>
    <row r="755" spans="1:41" ht="90" x14ac:dyDescent="0.25">
      <c r="A755" s="2">
        <v>195022166183</v>
      </c>
      <c r="B755" t="s">
        <v>71</v>
      </c>
      <c r="C755" t="s">
        <v>72</v>
      </c>
      <c r="D755" t="s">
        <v>2296</v>
      </c>
      <c r="E755" t="s">
        <v>2297</v>
      </c>
      <c r="F755">
        <v>316210</v>
      </c>
      <c r="G755" s="35" t="s">
        <v>2258</v>
      </c>
      <c r="H755" s="31" t="s">
        <v>2298</v>
      </c>
      <c r="J755" t="s">
        <v>77</v>
      </c>
      <c r="M755">
        <v>190</v>
      </c>
      <c r="P755" t="s">
        <v>78</v>
      </c>
      <c r="Q755" s="55">
        <v>201.81818181818181</v>
      </c>
      <c r="R755" s="32">
        <v>111</v>
      </c>
      <c r="S755" s="33">
        <v>0.33</v>
      </c>
      <c r="T755" s="34">
        <f t="shared" si="23"/>
        <v>165.67164179104481</v>
      </c>
      <c r="U755" s="34">
        <f t="shared" si="24"/>
        <v>167.74253731343285</v>
      </c>
      <c r="V755" t="s">
        <v>79</v>
      </c>
      <c r="W755" s="32">
        <v>15</v>
      </c>
      <c r="X755" s="32" t="s">
        <v>80</v>
      </c>
      <c r="AD755" s="1">
        <v>195022166183</v>
      </c>
      <c r="AN755">
        <v>30</v>
      </c>
      <c r="AO755" t="s">
        <v>81</v>
      </c>
    </row>
    <row r="756" spans="1:41" ht="90" x14ac:dyDescent="0.25">
      <c r="A756" s="2">
        <v>195022166336</v>
      </c>
      <c r="B756" t="s">
        <v>71</v>
      </c>
      <c r="C756" t="s">
        <v>72</v>
      </c>
      <c r="D756" t="s">
        <v>2299</v>
      </c>
      <c r="E756" t="s">
        <v>2300</v>
      </c>
      <c r="F756">
        <v>316210</v>
      </c>
      <c r="G756" s="35" t="s">
        <v>2258</v>
      </c>
      <c r="H756" s="31" t="s">
        <v>2301</v>
      </c>
      <c r="J756" t="s">
        <v>77</v>
      </c>
      <c r="M756">
        <v>190</v>
      </c>
      <c r="P756" t="s">
        <v>78</v>
      </c>
      <c r="Q756" s="55">
        <v>201.81818181818181</v>
      </c>
      <c r="R756" s="32">
        <v>111</v>
      </c>
      <c r="S756" s="33">
        <v>0.33</v>
      </c>
      <c r="T756" s="34">
        <f t="shared" si="23"/>
        <v>165.67164179104481</v>
      </c>
      <c r="U756" s="34">
        <f t="shared" si="24"/>
        <v>167.74253731343285</v>
      </c>
      <c r="V756" t="s">
        <v>79</v>
      </c>
      <c r="W756" s="32">
        <v>15</v>
      </c>
      <c r="X756" s="32" t="s">
        <v>80</v>
      </c>
      <c r="AD756" s="1">
        <v>195022166336</v>
      </c>
      <c r="AN756">
        <v>30</v>
      </c>
      <c r="AO756" t="s">
        <v>81</v>
      </c>
    </row>
    <row r="757" spans="1:41" ht="90" x14ac:dyDescent="0.25">
      <c r="A757" s="2">
        <v>195022166190</v>
      </c>
      <c r="B757" t="s">
        <v>71</v>
      </c>
      <c r="C757" t="s">
        <v>72</v>
      </c>
      <c r="D757" t="s">
        <v>2302</v>
      </c>
      <c r="E757" t="s">
        <v>2303</v>
      </c>
      <c r="F757">
        <v>316210</v>
      </c>
      <c r="G757" s="35" t="s">
        <v>2258</v>
      </c>
      <c r="H757" s="31" t="s">
        <v>2304</v>
      </c>
      <c r="J757" t="s">
        <v>77</v>
      </c>
      <c r="M757">
        <v>190</v>
      </c>
      <c r="P757" t="s">
        <v>78</v>
      </c>
      <c r="Q757" s="55">
        <v>201.81818181818181</v>
      </c>
      <c r="R757" s="32">
        <v>111</v>
      </c>
      <c r="S757" s="33">
        <v>0.33</v>
      </c>
      <c r="T757" s="34">
        <f t="shared" si="23"/>
        <v>165.67164179104481</v>
      </c>
      <c r="U757" s="34">
        <f t="shared" si="24"/>
        <v>167.74253731343285</v>
      </c>
      <c r="V757" t="s">
        <v>79</v>
      </c>
      <c r="W757" s="32">
        <v>15</v>
      </c>
      <c r="X757" s="32" t="s">
        <v>80</v>
      </c>
      <c r="AD757" s="1">
        <v>195022166190</v>
      </c>
      <c r="AN757">
        <v>30</v>
      </c>
      <c r="AO757" t="s">
        <v>81</v>
      </c>
    </row>
    <row r="758" spans="1:41" ht="90" x14ac:dyDescent="0.25">
      <c r="A758" s="2">
        <v>195022166343</v>
      </c>
      <c r="B758" t="s">
        <v>71</v>
      </c>
      <c r="C758" t="s">
        <v>72</v>
      </c>
      <c r="D758" t="s">
        <v>2305</v>
      </c>
      <c r="E758" t="s">
        <v>2306</v>
      </c>
      <c r="F758">
        <v>316210</v>
      </c>
      <c r="G758" s="35" t="s">
        <v>2258</v>
      </c>
      <c r="H758" s="31" t="s">
        <v>2307</v>
      </c>
      <c r="J758" t="s">
        <v>77</v>
      </c>
      <c r="M758">
        <v>190</v>
      </c>
      <c r="P758" t="s">
        <v>78</v>
      </c>
      <c r="Q758" s="55">
        <v>201.81818181818181</v>
      </c>
      <c r="R758" s="32">
        <v>111</v>
      </c>
      <c r="S758" s="33">
        <v>0.33</v>
      </c>
      <c r="T758" s="34">
        <f t="shared" si="23"/>
        <v>165.67164179104481</v>
      </c>
      <c r="U758" s="34">
        <f t="shared" si="24"/>
        <v>167.74253731343285</v>
      </c>
      <c r="V758" t="s">
        <v>79</v>
      </c>
      <c r="W758" s="32">
        <v>15</v>
      </c>
      <c r="X758" s="32" t="s">
        <v>80</v>
      </c>
      <c r="AD758" s="1">
        <v>195022166343</v>
      </c>
      <c r="AN758">
        <v>30</v>
      </c>
      <c r="AO758" t="s">
        <v>81</v>
      </c>
    </row>
    <row r="759" spans="1:41" ht="90" x14ac:dyDescent="0.25">
      <c r="A759" s="2">
        <v>195022166206</v>
      </c>
      <c r="B759" t="s">
        <v>71</v>
      </c>
      <c r="C759" t="s">
        <v>72</v>
      </c>
      <c r="D759" t="s">
        <v>2308</v>
      </c>
      <c r="E759" t="s">
        <v>2309</v>
      </c>
      <c r="F759">
        <v>316210</v>
      </c>
      <c r="G759" s="35" t="s">
        <v>2258</v>
      </c>
      <c r="H759" s="31" t="s">
        <v>2310</v>
      </c>
      <c r="J759" t="s">
        <v>77</v>
      </c>
      <c r="M759">
        <v>190</v>
      </c>
      <c r="P759" t="s">
        <v>78</v>
      </c>
      <c r="Q759" s="55">
        <v>201.81818181818181</v>
      </c>
      <c r="R759" s="32">
        <v>111</v>
      </c>
      <c r="S759" s="33">
        <v>0.33</v>
      </c>
      <c r="T759" s="34">
        <f t="shared" si="23"/>
        <v>165.67164179104481</v>
      </c>
      <c r="U759" s="34">
        <f t="shared" si="24"/>
        <v>167.74253731343285</v>
      </c>
      <c r="V759" t="s">
        <v>79</v>
      </c>
      <c r="W759" s="32">
        <v>15</v>
      </c>
      <c r="X759" s="32" t="s">
        <v>80</v>
      </c>
      <c r="AD759" s="1">
        <v>195022166206</v>
      </c>
      <c r="AN759">
        <v>30</v>
      </c>
      <c r="AO759" t="s">
        <v>81</v>
      </c>
    </row>
    <row r="760" spans="1:41" ht="90" x14ac:dyDescent="0.25">
      <c r="A760" s="2">
        <v>195022166350</v>
      </c>
      <c r="B760" t="s">
        <v>71</v>
      </c>
      <c r="C760" t="s">
        <v>72</v>
      </c>
      <c r="D760" t="s">
        <v>2311</v>
      </c>
      <c r="E760" t="s">
        <v>2312</v>
      </c>
      <c r="F760">
        <v>316210</v>
      </c>
      <c r="G760" s="35" t="s">
        <v>2258</v>
      </c>
      <c r="H760" s="31" t="s">
        <v>2313</v>
      </c>
      <c r="J760" t="s">
        <v>77</v>
      </c>
      <c r="M760">
        <v>190</v>
      </c>
      <c r="P760" t="s">
        <v>78</v>
      </c>
      <c r="Q760" s="55">
        <v>201.81818181818181</v>
      </c>
      <c r="R760" s="32">
        <v>111</v>
      </c>
      <c r="S760" s="33">
        <v>0.33</v>
      </c>
      <c r="T760" s="34">
        <f t="shared" si="23"/>
        <v>165.67164179104481</v>
      </c>
      <c r="U760" s="34">
        <f t="shared" si="24"/>
        <v>167.74253731343285</v>
      </c>
      <c r="V760" t="s">
        <v>79</v>
      </c>
      <c r="W760" s="32">
        <v>15</v>
      </c>
      <c r="X760" s="32" t="s">
        <v>80</v>
      </c>
      <c r="AD760" s="1">
        <v>195022166350</v>
      </c>
      <c r="AN760">
        <v>30</v>
      </c>
      <c r="AO760" t="s">
        <v>81</v>
      </c>
    </row>
    <row r="761" spans="1:41" ht="90" x14ac:dyDescent="0.25">
      <c r="A761" s="2">
        <v>195022166213</v>
      </c>
      <c r="B761" t="s">
        <v>71</v>
      </c>
      <c r="C761" t="s">
        <v>72</v>
      </c>
      <c r="D761" t="s">
        <v>2314</v>
      </c>
      <c r="E761" t="s">
        <v>2315</v>
      </c>
      <c r="F761">
        <v>316210</v>
      </c>
      <c r="G761" s="35" t="s">
        <v>2258</v>
      </c>
      <c r="H761" s="31" t="s">
        <v>2316</v>
      </c>
      <c r="J761" t="s">
        <v>77</v>
      </c>
      <c r="M761">
        <v>190</v>
      </c>
      <c r="P761" t="s">
        <v>78</v>
      </c>
      <c r="Q761" s="55">
        <v>201.81818181818181</v>
      </c>
      <c r="R761" s="32">
        <v>111</v>
      </c>
      <c r="S761" s="33">
        <v>0.33</v>
      </c>
      <c r="T761" s="34">
        <f t="shared" si="23"/>
        <v>165.67164179104481</v>
      </c>
      <c r="U761" s="34">
        <f t="shared" si="24"/>
        <v>167.74253731343285</v>
      </c>
      <c r="V761" t="s">
        <v>79</v>
      </c>
      <c r="W761" s="32">
        <v>15</v>
      </c>
      <c r="X761" s="32" t="s">
        <v>80</v>
      </c>
      <c r="AD761" s="1">
        <v>195022166213</v>
      </c>
      <c r="AN761">
        <v>30</v>
      </c>
      <c r="AO761" t="s">
        <v>81</v>
      </c>
    </row>
    <row r="762" spans="1:41" ht="90" x14ac:dyDescent="0.25">
      <c r="A762" s="2">
        <v>195022166367</v>
      </c>
      <c r="B762" t="s">
        <v>71</v>
      </c>
      <c r="C762" t="s">
        <v>72</v>
      </c>
      <c r="D762" t="s">
        <v>2317</v>
      </c>
      <c r="E762" t="s">
        <v>2318</v>
      </c>
      <c r="F762">
        <v>316210</v>
      </c>
      <c r="G762" s="35" t="s">
        <v>2258</v>
      </c>
      <c r="H762" s="31" t="s">
        <v>2319</v>
      </c>
      <c r="J762" t="s">
        <v>77</v>
      </c>
      <c r="M762">
        <v>190</v>
      </c>
      <c r="P762" t="s">
        <v>78</v>
      </c>
      <c r="Q762" s="55">
        <v>201.81818181818181</v>
      </c>
      <c r="R762" s="32">
        <v>111</v>
      </c>
      <c r="S762" s="33">
        <v>0.33</v>
      </c>
      <c r="T762" s="34">
        <f t="shared" si="23"/>
        <v>165.67164179104481</v>
      </c>
      <c r="U762" s="34">
        <f t="shared" si="24"/>
        <v>167.74253731343285</v>
      </c>
      <c r="V762" t="s">
        <v>79</v>
      </c>
      <c r="W762" s="32">
        <v>15</v>
      </c>
      <c r="X762" s="32" t="s">
        <v>80</v>
      </c>
      <c r="AD762" s="1">
        <v>195022166367</v>
      </c>
      <c r="AN762">
        <v>30</v>
      </c>
      <c r="AO762" t="s">
        <v>81</v>
      </c>
    </row>
    <row r="763" spans="1:41" ht="90" x14ac:dyDescent="0.25">
      <c r="A763" s="2">
        <v>195022166220</v>
      </c>
      <c r="B763" t="s">
        <v>71</v>
      </c>
      <c r="C763" t="s">
        <v>72</v>
      </c>
      <c r="D763" t="s">
        <v>2320</v>
      </c>
      <c r="E763" t="s">
        <v>2321</v>
      </c>
      <c r="F763">
        <v>316210</v>
      </c>
      <c r="G763" s="35" t="s">
        <v>2258</v>
      </c>
      <c r="H763" s="31" t="s">
        <v>2322</v>
      </c>
      <c r="J763" t="s">
        <v>77</v>
      </c>
      <c r="M763">
        <v>190</v>
      </c>
      <c r="P763" t="s">
        <v>78</v>
      </c>
      <c r="Q763" s="55">
        <v>201.81818181818181</v>
      </c>
      <c r="R763" s="32">
        <v>111</v>
      </c>
      <c r="S763" s="33">
        <v>0.33</v>
      </c>
      <c r="T763" s="34">
        <f t="shared" si="23"/>
        <v>165.67164179104481</v>
      </c>
      <c r="U763" s="34">
        <f t="shared" si="24"/>
        <v>167.74253731343285</v>
      </c>
      <c r="V763" t="s">
        <v>79</v>
      </c>
      <c r="W763" s="32">
        <v>15</v>
      </c>
      <c r="X763" s="32" t="s">
        <v>80</v>
      </c>
      <c r="AD763" s="1">
        <v>195022166220</v>
      </c>
      <c r="AN763">
        <v>30</v>
      </c>
      <c r="AO763" t="s">
        <v>81</v>
      </c>
    </row>
    <row r="764" spans="1:41" ht="90" x14ac:dyDescent="0.25">
      <c r="A764" s="2">
        <v>195022166374</v>
      </c>
      <c r="B764" t="s">
        <v>71</v>
      </c>
      <c r="C764" t="s">
        <v>72</v>
      </c>
      <c r="D764" t="s">
        <v>2323</v>
      </c>
      <c r="E764" t="s">
        <v>2324</v>
      </c>
      <c r="F764">
        <v>316210</v>
      </c>
      <c r="G764" s="35" t="s">
        <v>2258</v>
      </c>
      <c r="H764" s="31" t="s">
        <v>2325</v>
      </c>
      <c r="J764" t="s">
        <v>77</v>
      </c>
      <c r="M764">
        <v>190</v>
      </c>
      <c r="P764" t="s">
        <v>78</v>
      </c>
      <c r="Q764" s="55">
        <v>201.81818181818181</v>
      </c>
      <c r="R764" s="32">
        <v>111</v>
      </c>
      <c r="S764" s="33">
        <v>0.33</v>
      </c>
      <c r="T764" s="34">
        <f t="shared" si="23"/>
        <v>165.67164179104481</v>
      </c>
      <c r="U764" s="34">
        <f t="shared" si="24"/>
        <v>167.74253731343285</v>
      </c>
      <c r="V764" t="s">
        <v>79</v>
      </c>
      <c r="W764" s="32">
        <v>15</v>
      </c>
      <c r="X764" s="32" t="s">
        <v>80</v>
      </c>
      <c r="AD764" s="1">
        <v>195022166374</v>
      </c>
      <c r="AN764">
        <v>30</v>
      </c>
      <c r="AO764" t="s">
        <v>81</v>
      </c>
    </row>
    <row r="765" spans="1:41" ht="90" x14ac:dyDescent="0.25">
      <c r="A765" s="2">
        <v>195022166237</v>
      </c>
      <c r="B765" t="s">
        <v>71</v>
      </c>
      <c r="C765" t="s">
        <v>72</v>
      </c>
      <c r="D765" t="s">
        <v>2326</v>
      </c>
      <c r="E765" t="s">
        <v>2327</v>
      </c>
      <c r="F765">
        <v>316210</v>
      </c>
      <c r="G765" s="35" t="s">
        <v>2258</v>
      </c>
      <c r="H765" s="31" t="s">
        <v>2328</v>
      </c>
      <c r="J765" t="s">
        <v>77</v>
      </c>
      <c r="M765">
        <v>190</v>
      </c>
      <c r="P765" t="s">
        <v>78</v>
      </c>
      <c r="Q765" s="55">
        <v>201.81818181818181</v>
      </c>
      <c r="R765" s="32">
        <v>111</v>
      </c>
      <c r="S765" s="33">
        <v>0.33</v>
      </c>
      <c r="T765" s="34">
        <f t="shared" si="23"/>
        <v>165.67164179104481</v>
      </c>
      <c r="U765" s="34">
        <f t="shared" si="24"/>
        <v>167.74253731343285</v>
      </c>
      <c r="V765" t="s">
        <v>79</v>
      </c>
      <c r="W765" s="32">
        <v>15</v>
      </c>
      <c r="X765" s="32" t="s">
        <v>80</v>
      </c>
      <c r="AD765" s="1">
        <v>195022166237</v>
      </c>
      <c r="AN765">
        <v>30</v>
      </c>
      <c r="AO765" t="s">
        <v>81</v>
      </c>
    </row>
    <row r="766" spans="1:41" ht="90" x14ac:dyDescent="0.25">
      <c r="A766" s="2">
        <v>195022166381</v>
      </c>
      <c r="B766" t="s">
        <v>71</v>
      </c>
      <c r="C766" t="s">
        <v>72</v>
      </c>
      <c r="D766" t="s">
        <v>2329</v>
      </c>
      <c r="E766" t="s">
        <v>2330</v>
      </c>
      <c r="F766">
        <v>316210</v>
      </c>
      <c r="G766" s="35" t="s">
        <v>2258</v>
      </c>
      <c r="H766" s="31" t="s">
        <v>2331</v>
      </c>
      <c r="J766" t="s">
        <v>77</v>
      </c>
      <c r="M766">
        <v>190</v>
      </c>
      <c r="P766" t="s">
        <v>78</v>
      </c>
      <c r="Q766" s="55">
        <v>201.81818181818181</v>
      </c>
      <c r="R766" s="32">
        <v>111</v>
      </c>
      <c r="S766" s="33">
        <v>0.33</v>
      </c>
      <c r="T766" s="34">
        <f t="shared" si="23"/>
        <v>165.67164179104481</v>
      </c>
      <c r="U766" s="34">
        <f t="shared" si="24"/>
        <v>167.74253731343285</v>
      </c>
      <c r="V766" t="s">
        <v>79</v>
      </c>
      <c r="W766" s="32">
        <v>15</v>
      </c>
      <c r="X766" s="32" t="s">
        <v>80</v>
      </c>
      <c r="AD766" s="1">
        <v>195022166381</v>
      </c>
      <c r="AN766">
        <v>30</v>
      </c>
      <c r="AO766" t="s">
        <v>81</v>
      </c>
    </row>
    <row r="767" spans="1:41" ht="90" x14ac:dyDescent="0.25">
      <c r="A767" s="2">
        <v>195022166244</v>
      </c>
      <c r="B767" t="s">
        <v>71</v>
      </c>
      <c r="C767" t="s">
        <v>72</v>
      </c>
      <c r="D767" t="s">
        <v>2332</v>
      </c>
      <c r="E767" t="s">
        <v>2333</v>
      </c>
      <c r="F767">
        <v>316210</v>
      </c>
      <c r="G767" s="35" t="s">
        <v>2258</v>
      </c>
      <c r="H767" s="31" t="s">
        <v>2334</v>
      </c>
      <c r="J767" t="s">
        <v>77</v>
      </c>
      <c r="M767">
        <v>190</v>
      </c>
      <c r="P767" t="s">
        <v>78</v>
      </c>
      <c r="Q767" s="55">
        <v>201.81818181818181</v>
      </c>
      <c r="R767" s="32">
        <v>111</v>
      </c>
      <c r="S767" s="33">
        <v>0.33</v>
      </c>
      <c r="T767" s="34">
        <f t="shared" si="23"/>
        <v>165.67164179104481</v>
      </c>
      <c r="U767" s="34">
        <f t="shared" si="24"/>
        <v>167.74253731343285</v>
      </c>
      <c r="V767" t="s">
        <v>79</v>
      </c>
      <c r="W767" s="32">
        <v>15</v>
      </c>
      <c r="X767" s="32" t="s">
        <v>80</v>
      </c>
      <c r="AD767" s="1">
        <v>195022166244</v>
      </c>
      <c r="AN767">
        <v>30</v>
      </c>
      <c r="AO767" t="s">
        <v>81</v>
      </c>
    </row>
    <row r="768" spans="1:41" ht="90" x14ac:dyDescent="0.25">
      <c r="A768" s="2">
        <v>195022166398</v>
      </c>
      <c r="B768" t="s">
        <v>71</v>
      </c>
      <c r="C768" t="s">
        <v>72</v>
      </c>
      <c r="D768" t="s">
        <v>2335</v>
      </c>
      <c r="E768" t="s">
        <v>2336</v>
      </c>
      <c r="F768">
        <v>316210</v>
      </c>
      <c r="G768" s="35" t="s">
        <v>2258</v>
      </c>
      <c r="H768" s="31" t="s">
        <v>2337</v>
      </c>
      <c r="J768" t="s">
        <v>77</v>
      </c>
      <c r="M768">
        <v>190</v>
      </c>
      <c r="P768" t="s">
        <v>78</v>
      </c>
      <c r="Q768" s="55">
        <v>201.81818181818181</v>
      </c>
      <c r="R768" s="32">
        <v>111</v>
      </c>
      <c r="S768" s="33">
        <v>0.33</v>
      </c>
      <c r="T768" s="34">
        <f t="shared" si="23"/>
        <v>165.67164179104481</v>
      </c>
      <c r="U768" s="34">
        <f t="shared" si="24"/>
        <v>167.74253731343285</v>
      </c>
      <c r="V768" t="s">
        <v>79</v>
      </c>
      <c r="W768" s="32">
        <v>15</v>
      </c>
      <c r="X768" s="32" t="s">
        <v>80</v>
      </c>
      <c r="AD768" s="1">
        <v>195022166398</v>
      </c>
      <c r="AN768">
        <v>30</v>
      </c>
      <c r="AO768" t="s">
        <v>81</v>
      </c>
    </row>
    <row r="769" spans="1:41" ht="90" x14ac:dyDescent="0.25">
      <c r="A769" s="2">
        <v>195022166251</v>
      </c>
      <c r="B769" t="s">
        <v>71</v>
      </c>
      <c r="C769" t="s">
        <v>72</v>
      </c>
      <c r="D769" t="s">
        <v>2338</v>
      </c>
      <c r="E769" t="s">
        <v>2339</v>
      </c>
      <c r="F769">
        <v>316210</v>
      </c>
      <c r="G769" s="35" t="s">
        <v>2258</v>
      </c>
      <c r="H769" s="31" t="s">
        <v>2340</v>
      </c>
      <c r="J769" t="s">
        <v>77</v>
      </c>
      <c r="M769">
        <v>190</v>
      </c>
      <c r="P769" t="s">
        <v>78</v>
      </c>
      <c r="Q769" s="55">
        <v>201.81818181818181</v>
      </c>
      <c r="R769" s="32">
        <v>111</v>
      </c>
      <c r="S769" s="33">
        <v>0.33</v>
      </c>
      <c r="T769" s="34">
        <f t="shared" si="23"/>
        <v>165.67164179104481</v>
      </c>
      <c r="U769" s="34">
        <f t="shared" si="24"/>
        <v>167.74253731343285</v>
      </c>
      <c r="V769" t="s">
        <v>79</v>
      </c>
      <c r="W769" s="32">
        <v>15</v>
      </c>
      <c r="X769" s="32" t="s">
        <v>80</v>
      </c>
      <c r="AD769" s="1">
        <v>195022166251</v>
      </c>
      <c r="AN769">
        <v>30</v>
      </c>
      <c r="AO769" t="s">
        <v>81</v>
      </c>
    </row>
    <row r="770" spans="1:41" ht="90" x14ac:dyDescent="0.25">
      <c r="A770" s="2">
        <v>195022166541</v>
      </c>
      <c r="B770" t="s">
        <v>71</v>
      </c>
      <c r="C770" t="s">
        <v>72</v>
      </c>
      <c r="D770" t="s">
        <v>2341</v>
      </c>
      <c r="E770" t="s">
        <v>2342</v>
      </c>
      <c r="F770">
        <v>316210</v>
      </c>
      <c r="G770" s="35" t="s">
        <v>2258</v>
      </c>
      <c r="H770" s="31" t="s">
        <v>2343</v>
      </c>
      <c r="J770" t="s">
        <v>77</v>
      </c>
      <c r="M770">
        <v>190</v>
      </c>
      <c r="P770" t="s">
        <v>78</v>
      </c>
      <c r="Q770" s="55">
        <v>201.81818181818181</v>
      </c>
      <c r="R770" s="32">
        <v>111</v>
      </c>
      <c r="S770" s="33">
        <v>0.33</v>
      </c>
      <c r="T770" s="34">
        <f t="shared" si="23"/>
        <v>165.67164179104481</v>
      </c>
      <c r="U770" s="34">
        <f t="shared" si="24"/>
        <v>167.74253731343285</v>
      </c>
      <c r="V770" t="s">
        <v>79</v>
      </c>
      <c r="W770" s="32">
        <v>15</v>
      </c>
      <c r="X770" s="32" t="s">
        <v>80</v>
      </c>
      <c r="AD770" s="1">
        <v>195022166541</v>
      </c>
      <c r="AN770">
        <v>30</v>
      </c>
      <c r="AO770" t="s">
        <v>81</v>
      </c>
    </row>
    <row r="771" spans="1:41" ht="90" x14ac:dyDescent="0.25">
      <c r="A771" s="2">
        <v>195022166404</v>
      </c>
      <c r="B771" t="s">
        <v>71</v>
      </c>
      <c r="C771" t="s">
        <v>72</v>
      </c>
      <c r="D771" t="s">
        <v>2344</v>
      </c>
      <c r="E771" t="s">
        <v>2345</v>
      </c>
      <c r="F771">
        <v>316210</v>
      </c>
      <c r="G771" s="35" t="s">
        <v>2258</v>
      </c>
      <c r="H771" s="31" t="s">
        <v>2346</v>
      </c>
      <c r="J771" t="s">
        <v>77</v>
      </c>
      <c r="M771">
        <v>190</v>
      </c>
      <c r="P771" t="s">
        <v>78</v>
      </c>
      <c r="Q771" s="55">
        <v>201.81818181818181</v>
      </c>
      <c r="R771" s="32">
        <v>111</v>
      </c>
      <c r="S771" s="33">
        <v>0.33</v>
      </c>
      <c r="T771" s="34">
        <f t="shared" si="23"/>
        <v>165.67164179104481</v>
      </c>
      <c r="U771" s="34">
        <f t="shared" si="24"/>
        <v>167.74253731343285</v>
      </c>
      <c r="V771" t="s">
        <v>79</v>
      </c>
      <c r="W771" s="32">
        <v>15</v>
      </c>
      <c r="X771" s="32" t="s">
        <v>80</v>
      </c>
      <c r="AD771" s="1">
        <v>195022166404</v>
      </c>
      <c r="AN771">
        <v>30</v>
      </c>
      <c r="AO771" t="s">
        <v>81</v>
      </c>
    </row>
    <row r="772" spans="1:41" ht="90" x14ac:dyDescent="0.25">
      <c r="A772" s="2">
        <v>195022166558</v>
      </c>
      <c r="B772" t="s">
        <v>71</v>
      </c>
      <c r="C772" t="s">
        <v>72</v>
      </c>
      <c r="D772" t="s">
        <v>2347</v>
      </c>
      <c r="E772" t="s">
        <v>2348</v>
      </c>
      <c r="F772">
        <v>316210</v>
      </c>
      <c r="G772" s="35" t="s">
        <v>2258</v>
      </c>
      <c r="H772" s="31" t="s">
        <v>2346</v>
      </c>
      <c r="J772" t="s">
        <v>77</v>
      </c>
      <c r="M772">
        <v>190</v>
      </c>
      <c r="P772" t="s">
        <v>78</v>
      </c>
      <c r="Q772" s="55">
        <v>201.81818181818181</v>
      </c>
      <c r="R772" s="32">
        <v>111</v>
      </c>
      <c r="S772" s="33">
        <v>0.33</v>
      </c>
      <c r="T772" s="34">
        <f t="shared" ref="T772:T835" si="25">R772/(1-S772)</f>
        <v>165.67164179104481</v>
      </c>
      <c r="U772" s="34">
        <f t="shared" ref="U772:U835" si="26">T772*(1+1.25%)</f>
        <v>167.74253731343285</v>
      </c>
      <c r="V772" t="s">
        <v>79</v>
      </c>
      <c r="W772" s="32">
        <v>15</v>
      </c>
      <c r="X772" s="32" t="s">
        <v>80</v>
      </c>
      <c r="AD772" s="1">
        <v>195022166558</v>
      </c>
      <c r="AN772">
        <v>30</v>
      </c>
      <c r="AO772" t="s">
        <v>81</v>
      </c>
    </row>
    <row r="773" spans="1:41" ht="90" x14ac:dyDescent="0.25">
      <c r="A773" s="2">
        <v>195022166411</v>
      </c>
      <c r="B773" t="s">
        <v>71</v>
      </c>
      <c r="C773" t="s">
        <v>72</v>
      </c>
      <c r="D773" t="s">
        <v>2349</v>
      </c>
      <c r="E773" t="s">
        <v>2350</v>
      </c>
      <c r="F773">
        <v>316210</v>
      </c>
      <c r="G773" s="35" t="s">
        <v>2258</v>
      </c>
      <c r="H773" s="31" t="s">
        <v>2346</v>
      </c>
      <c r="J773" t="s">
        <v>77</v>
      </c>
      <c r="M773">
        <v>190</v>
      </c>
      <c r="P773" t="s">
        <v>78</v>
      </c>
      <c r="Q773" s="55">
        <v>201.81818181818181</v>
      </c>
      <c r="R773" s="32">
        <v>111</v>
      </c>
      <c r="S773" s="33">
        <v>0.33</v>
      </c>
      <c r="T773" s="34">
        <f t="shared" si="25"/>
        <v>165.67164179104481</v>
      </c>
      <c r="U773" s="34">
        <f t="shared" si="26"/>
        <v>167.74253731343285</v>
      </c>
      <c r="V773" t="s">
        <v>79</v>
      </c>
      <c r="W773" s="32">
        <v>15</v>
      </c>
      <c r="X773" s="32" t="s">
        <v>80</v>
      </c>
      <c r="AD773" s="1">
        <v>195022166411</v>
      </c>
      <c r="AN773">
        <v>30</v>
      </c>
      <c r="AO773" t="s">
        <v>81</v>
      </c>
    </row>
    <row r="774" spans="1:41" ht="90" x14ac:dyDescent="0.25">
      <c r="A774" s="2">
        <v>195022166565</v>
      </c>
      <c r="B774" t="s">
        <v>71</v>
      </c>
      <c r="C774" t="s">
        <v>72</v>
      </c>
      <c r="D774" t="s">
        <v>2351</v>
      </c>
      <c r="E774" t="s">
        <v>2352</v>
      </c>
      <c r="F774">
        <v>316210</v>
      </c>
      <c r="G774" s="35" t="s">
        <v>2258</v>
      </c>
      <c r="H774" s="31" t="s">
        <v>2353</v>
      </c>
      <c r="J774" t="s">
        <v>77</v>
      </c>
      <c r="M774">
        <v>190</v>
      </c>
      <c r="P774" t="s">
        <v>78</v>
      </c>
      <c r="Q774" s="55">
        <v>201.81818181818181</v>
      </c>
      <c r="R774" s="32">
        <v>111</v>
      </c>
      <c r="S774" s="33">
        <v>0.33</v>
      </c>
      <c r="T774" s="34">
        <f t="shared" si="25"/>
        <v>165.67164179104481</v>
      </c>
      <c r="U774" s="34">
        <f t="shared" si="26"/>
        <v>167.74253731343285</v>
      </c>
      <c r="V774" t="s">
        <v>79</v>
      </c>
      <c r="W774" s="32">
        <v>15</v>
      </c>
      <c r="X774" s="32" t="s">
        <v>80</v>
      </c>
      <c r="AD774" s="1">
        <v>195022166565</v>
      </c>
      <c r="AN774">
        <v>30</v>
      </c>
      <c r="AO774" t="s">
        <v>81</v>
      </c>
    </row>
    <row r="775" spans="1:41" ht="90" x14ac:dyDescent="0.25">
      <c r="A775" s="2">
        <v>195022166428</v>
      </c>
      <c r="B775" t="s">
        <v>71</v>
      </c>
      <c r="C775" t="s">
        <v>72</v>
      </c>
      <c r="D775" t="s">
        <v>2354</v>
      </c>
      <c r="E775" t="s">
        <v>2355</v>
      </c>
      <c r="F775">
        <v>316210</v>
      </c>
      <c r="G775" s="35" t="s">
        <v>2258</v>
      </c>
      <c r="H775" s="31" t="s">
        <v>2356</v>
      </c>
      <c r="J775" t="s">
        <v>77</v>
      </c>
      <c r="M775">
        <v>190</v>
      </c>
      <c r="P775" t="s">
        <v>78</v>
      </c>
      <c r="Q775" s="55">
        <v>201.81818181818181</v>
      </c>
      <c r="R775" s="32">
        <v>111</v>
      </c>
      <c r="S775" s="33">
        <v>0.33</v>
      </c>
      <c r="T775" s="34">
        <f t="shared" si="25"/>
        <v>165.67164179104481</v>
      </c>
      <c r="U775" s="34">
        <f t="shared" si="26"/>
        <v>167.74253731343285</v>
      </c>
      <c r="V775" t="s">
        <v>79</v>
      </c>
      <c r="W775" s="32">
        <v>15</v>
      </c>
      <c r="X775" s="32" t="s">
        <v>80</v>
      </c>
      <c r="AD775" s="1">
        <v>195022166428</v>
      </c>
      <c r="AN775">
        <v>30</v>
      </c>
      <c r="AO775" t="s">
        <v>81</v>
      </c>
    </row>
    <row r="776" spans="1:41" ht="90" x14ac:dyDescent="0.25">
      <c r="A776" s="2">
        <v>195022166572</v>
      </c>
      <c r="B776" t="s">
        <v>71</v>
      </c>
      <c r="C776" t="s">
        <v>72</v>
      </c>
      <c r="D776" t="s">
        <v>2357</v>
      </c>
      <c r="E776" t="s">
        <v>2358</v>
      </c>
      <c r="F776">
        <v>316210</v>
      </c>
      <c r="G776" s="35" t="s">
        <v>2258</v>
      </c>
      <c r="H776" s="31" t="s">
        <v>2359</v>
      </c>
      <c r="J776" t="s">
        <v>77</v>
      </c>
      <c r="M776">
        <v>190</v>
      </c>
      <c r="P776" t="s">
        <v>78</v>
      </c>
      <c r="Q776" s="55">
        <v>201.81818181818181</v>
      </c>
      <c r="R776" s="32">
        <v>111</v>
      </c>
      <c r="S776" s="33">
        <v>0.33</v>
      </c>
      <c r="T776" s="34">
        <f t="shared" si="25"/>
        <v>165.67164179104481</v>
      </c>
      <c r="U776" s="34">
        <f t="shared" si="26"/>
        <v>167.74253731343285</v>
      </c>
      <c r="V776" t="s">
        <v>79</v>
      </c>
      <c r="W776" s="32">
        <v>15</v>
      </c>
      <c r="X776" s="32" t="s">
        <v>80</v>
      </c>
      <c r="AD776" s="1">
        <v>195022166572</v>
      </c>
      <c r="AN776">
        <v>30</v>
      </c>
      <c r="AO776" t="s">
        <v>81</v>
      </c>
    </row>
    <row r="777" spans="1:41" ht="90" x14ac:dyDescent="0.25">
      <c r="A777" s="2">
        <v>195022166435</v>
      </c>
      <c r="B777" t="s">
        <v>71</v>
      </c>
      <c r="C777" t="s">
        <v>72</v>
      </c>
      <c r="D777" t="s">
        <v>2360</v>
      </c>
      <c r="E777" t="s">
        <v>2361</v>
      </c>
      <c r="F777">
        <v>316210</v>
      </c>
      <c r="G777" s="35" t="s">
        <v>2258</v>
      </c>
      <c r="H777" s="31" t="s">
        <v>2362</v>
      </c>
      <c r="J777" t="s">
        <v>77</v>
      </c>
      <c r="M777">
        <v>190</v>
      </c>
      <c r="P777" t="s">
        <v>78</v>
      </c>
      <c r="Q777" s="55">
        <v>201.81818181818181</v>
      </c>
      <c r="R777" s="32">
        <v>111</v>
      </c>
      <c r="S777" s="33">
        <v>0.33</v>
      </c>
      <c r="T777" s="34">
        <f t="shared" si="25"/>
        <v>165.67164179104481</v>
      </c>
      <c r="U777" s="34">
        <f t="shared" si="26"/>
        <v>167.74253731343285</v>
      </c>
      <c r="V777" t="s">
        <v>79</v>
      </c>
      <c r="W777" s="32">
        <v>15</v>
      </c>
      <c r="X777" s="32" t="s">
        <v>80</v>
      </c>
      <c r="AD777" s="1">
        <v>195022166435</v>
      </c>
      <c r="AN777">
        <v>30</v>
      </c>
      <c r="AO777" t="s">
        <v>81</v>
      </c>
    </row>
    <row r="778" spans="1:41" ht="90" x14ac:dyDescent="0.25">
      <c r="A778" s="2">
        <v>195022166589</v>
      </c>
      <c r="B778" t="s">
        <v>71</v>
      </c>
      <c r="C778" t="s">
        <v>72</v>
      </c>
      <c r="D778" t="s">
        <v>2363</v>
      </c>
      <c r="E778" t="s">
        <v>2364</v>
      </c>
      <c r="F778">
        <v>316210</v>
      </c>
      <c r="G778" s="35" t="s">
        <v>2258</v>
      </c>
      <c r="H778" s="31" t="s">
        <v>2365</v>
      </c>
      <c r="J778" t="s">
        <v>77</v>
      </c>
      <c r="M778">
        <v>190</v>
      </c>
      <c r="P778" t="s">
        <v>78</v>
      </c>
      <c r="Q778" s="55">
        <v>201.81818181818181</v>
      </c>
      <c r="R778" s="32">
        <v>111</v>
      </c>
      <c r="S778" s="33">
        <v>0.33</v>
      </c>
      <c r="T778" s="34">
        <f t="shared" si="25"/>
        <v>165.67164179104481</v>
      </c>
      <c r="U778" s="34">
        <f t="shared" si="26"/>
        <v>167.74253731343285</v>
      </c>
      <c r="V778" t="s">
        <v>79</v>
      </c>
      <c r="W778" s="32">
        <v>15</v>
      </c>
      <c r="X778" s="32" t="s">
        <v>80</v>
      </c>
      <c r="AD778" s="1">
        <v>195022166589</v>
      </c>
      <c r="AN778">
        <v>30</v>
      </c>
      <c r="AO778" t="s">
        <v>81</v>
      </c>
    </row>
    <row r="779" spans="1:41" ht="90" x14ac:dyDescent="0.25">
      <c r="A779" s="2">
        <v>195022166442</v>
      </c>
      <c r="B779" t="s">
        <v>71</v>
      </c>
      <c r="C779" t="s">
        <v>72</v>
      </c>
      <c r="D779" t="s">
        <v>2366</v>
      </c>
      <c r="E779" t="s">
        <v>2367</v>
      </c>
      <c r="F779">
        <v>316210</v>
      </c>
      <c r="G779" s="35" t="s">
        <v>2258</v>
      </c>
      <c r="H779" s="31" t="s">
        <v>2368</v>
      </c>
      <c r="J779" t="s">
        <v>77</v>
      </c>
      <c r="M779">
        <v>190</v>
      </c>
      <c r="P779" t="s">
        <v>78</v>
      </c>
      <c r="Q779" s="55">
        <v>201.81818181818181</v>
      </c>
      <c r="R779" s="32">
        <v>111</v>
      </c>
      <c r="S779" s="33">
        <v>0.33</v>
      </c>
      <c r="T779" s="34">
        <f t="shared" si="25"/>
        <v>165.67164179104481</v>
      </c>
      <c r="U779" s="34">
        <f t="shared" si="26"/>
        <v>167.74253731343285</v>
      </c>
      <c r="V779" t="s">
        <v>79</v>
      </c>
      <c r="W779" s="32">
        <v>15</v>
      </c>
      <c r="X779" s="32" t="s">
        <v>80</v>
      </c>
      <c r="AD779" s="1">
        <v>195022166442</v>
      </c>
      <c r="AN779">
        <v>30</v>
      </c>
      <c r="AO779" t="s">
        <v>81</v>
      </c>
    </row>
    <row r="780" spans="1:41" ht="90" x14ac:dyDescent="0.25">
      <c r="A780" s="2">
        <v>195022166596</v>
      </c>
      <c r="B780" t="s">
        <v>71</v>
      </c>
      <c r="C780" t="s">
        <v>72</v>
      </c>
      <c r="D780" t="s">
        <v>2369</v>
      </c>
      <c r="E780" t="s">
        <v>2370</v>
      </c>
      <c r="F780">
        <v>316210</v>
      </c>
      <c r="G780" s="35" t="s">
        <v>2258</v>
      </c>
      <c r="H780" s="31" t="s">
        <v>2371</v>
      </c>
      <c r="J780" t="s">
        <v>77</v>
      </c>
      <c r="M780">
        <v>190</v>
      </c>
      <c r="P780" t="s">
        <v>78</v>
      </c>
      <c r="Q780" s="55">
        <v>201.81818181818181</v>
      </c>
      <c r="R780" s="32">
        <v>111</v>
      </c>
      <c r="S780" s="33">
        <v>0.33</v>
      </c>
      <c r="T780" s="34">
        <f t="shared" si="25"/>
        <v>165.67164179104481</v>
      </c>
      <c r="U780" s="34">
        <f t="shared" si="26"/>
        <v>167.74253731343285</v>
      </c>
      <c r="V780" t="s">
        <v>79</v>
      </c>
      <c r="W780" s="32">
        <v>15</v>
      </c>
      <c r="X780" s="32" t="s">
        <v>80</v>
      </c>
      <c r="AD780" s="1">
        <v>195022166596</v>
      </c>
      <c r="AN780">
        <v>30</v>
      </c>
      <c r="AO780" t="s">
        <v>81</v>
      </c>
    </row>
    <row r="781" spans="1:41" ht="90" x14ac:dyDescent="0.25">
      <c r="A781" s="2">
        <v>195022166459</v>
      </c>
      <c r="B781" t="s">
        <v>71</v>
      </c>
      <c r="C781" t="s">
        <v>72</v>
      </c>
      <c r="D781" t="s">
        <v>2372</v>
      </c>
      <c r="E781" t="s">
        <v>2373</v>
      </c>
      <c r="F781">
        <v>316210</v>
      </c>
      <c r="G781" s="35" t="s">
        <v>2258</v>
      </c>
      <c r="H781" s="31" t="s">
        <v>2374</v>
      </c>
      <c r="J781" t="s">
        <v>77</v>
      </c>
      <c r="M781">
        <v>190</v>
      </c>
      <c r="P781" t="s">
        <v>78</v>
      </c>
      <c r="Q781" s="55">
        <v>201.81818181818181</v>
      </c>
      <c r="R781" s="32">
        <v>111</v>
      </c>
      <c r="S781" s="33">
        <v>0.33</v>
      </c>
      <c r="T781" s="34">
        <f t="shared" si="25"/>
        <v>165.67164179104481</v>
      </c>
      <c r="U781" s="34">
        <f t="shared" si="26"/>
        <v>167.74253731343285</v>
      </c>
      <c r="V781" t="s">
        <v>79</v>
      </c>
      <c r="W781" s="32">
        <v>15</v>
      </c>
      <c r="X781" s="32" t="s">
        <v>80</v>
      </c>
      <c r="AD781" s="1">
        <v>195022166459</v>
      </c>
      <c r="AN781">
        <v>30</v>
      </c>
      <c r="AO781" t="s">
        <v>81</v>
      </c>
    </row>
    <row r="782" spans="1:41" ht="90" x14ac:dyDescent="0.25">
      <c r="A782" s="2">
        <v>195022166602</v>
      </c>
      <c r="B782" t="s">
        <v>71</v>
      </c>
      <c r="C782" t="s">
        <v>72</v>
      </c>
      <c r="D782" t="s">
        <v>2375</v>
      </c>
      <c r="E782" t="s">
        <v>2376</v>
      </c>
      <c r="F782">
        <v>316210</v>
      </c>
      <c r="G782" s="35" t="s">
        <v>2258</v>
      </c>
      <c r="H782" s="31" t="s">
        <v>2377</v>
      </c>
      <c r="J782" t="s">
        <v>77</v>
      </c>
      <c r="M782">
        <v>190</v>
      </c>
      <c r="P782" t="s">
        <v>78</v>
      </c>
      <c r="Q782" s="55">
        <v>201.81818181818181</v>
      </c>
      <c r="R782" s="32">
        <v>111</v>
      </c>
      <c r="S782" s="33">
        <v>0.33</v>
      </c>
      <c r="T782" s="34">
        <f t="shared" si="25"/>
        <v>165.67164179104481</v>
      </c>
      <c r="U782" s="34">
        <f t="shared" si="26"/>
        <v>167.74253731343285</v>
      </c>
      <c r="V782" t="s">
        <v>79</v>
      </c>
      <c r="W782" s="32">
        <v>15</v>
      </c>
      <c r="X782" s="32" t="s">
        <v>80</v>
      </c>
      <c r="AD782" s="1">
        <v>195022166602</v>
      </c>
      <c r="AN782">
        <v>30</v>
      </c>
      <c r="AO782" t="s">
        <v>81</v>
      </c>
    </row>
    <row r="783" spans="1:41" ht="90" x14ac:dyDescent="0.25">
      <c r="A783" s="2">
        <v>195022166466</v>
      </c>
      <c r="B783" t="s">
        <v>71</v>
      </c>
      <c r="C783" t="s">
        <v>72</v>
      </c>
      <c r="D783" t="s">
        <v>2378</v>
      </c>
      <c r="E783" t="s">
        <v>2379</v>
      </c>
      <c r="F783">
        <v>316210</v>
      </c>
      <c r="G783" s="35" t="s">
        <v>2258</v>
      </c>
      <c r="H783" s="31" t="s">
        <v>2380</v>
      </c>
      <c r="J783" t="s">
        <v>77</v>
      </c>
      <c r="M783">
        <v>190</v>
      </c>
      <c r="P783" t="s">
        <v>78</v>
      </c>
      <c r="Q783" s="55">
        <v>201.81818181818181</v>
      </c>
      <c r="R783" s="32">
        <v>111</v>
      </c>
      <c r="S783" s="33">
        <v>0.33</v>
      </c>
      <c r="T783" s="34">
        <f t="shared" si="25"/>
        <v>165.67164179104481</v>
      </c>
      <c r="U783" s="34">
        <f t="shared" si="26"/>
        <v>167.74253731343285</v>
      </c>
      <c r="V783" t="s">
        <v>79</v>
      </c>
      <c r="W783" s="32">
        <v>15</v>
      </c>
      <c r="X783" s="32" t="s">
        <v>80</v>
      </c>
      <c r="AD783" s="1">
        <v>195022166466</v>
      </c>
      <c r="AN783">
        <v>30</v>
      </c>
      <c r="AO783" t="s">
        <v>81</v>
      </c>
    </row>
    <row r="784" spans="1:41" ht="90" x14ac:dyDescent="0.25">
      <c r="A784" s="2">
        <v>195022166619</v>
      </c>
      <c r="B784" t="s">
        <v>71</v>
      </c>
      <c r="C784" t="s">
        <v>72</v>
      </c>
      <c r="D784" t="s">
        <v>2381</v>
      </c>
      <c r="E784" t="s">
        <v>2382</v>
      </c>
      <c r="F784">
        <v>316210</v>
      </c>
      <c r="G784" s="35" t="s">
        <v>2258</v>
      </c>
      <c r="H784" s="31" t="s">
        <v>2383</v>
      </c>
      <c r="J784" t="s">
        <v>77</v>
      </c>
      <c r="M784">
        <v>190</v>
      </c>
      <c r="P784" t="s">
        <v>78</v>
      </c>
      <c r="Q784" s="55">
        <v>201.81818181818181</v>
      </c>
      <c r="R784" s="32">
        <v>111</v>
      </c>
      <c r="S784" s="33">
        <v>0.33</v>
      </c>
      <c r="T784" s="34">
        <f t="shared" si="25"/>
        <v>165.67164179104481</v>
      </c>
      <c r="U784" s="34">
        <f t="shared" si="26"/>
        <v>167.74253731343285</v>
      </c>
      <c r="V784" t="s">
        <v>79</v>
      </c>
      <c r="W784" s="32">
        <v>15</v>
      </c>
      <c r="X784" s="32" t="s">
        <v>80</v>
      </c>
      <c r="AD784" s="1">
        <v>195022166619</v>
      </c>
      <c r="AN784">
        <v>30</v>
      </c>
      <c r="AO784" t="s">
        <v>81</v>
      </c>
    </row>
    <row r="785" spans="1:41" ht="90" x14ac:dyDescent="0.25">
      <c r="A785" s="2">
        <v>195022166473</v>
      </c>
      <c r="B785" t="s">
        <v>71</v>
      </c>
      <c r="C785" t="s">
        <v>72</v>
      </c>
      <c r="D785" t="s">
        <v>2384</v>
      </c>
      <c r="E785" t="s">
        <v>2385</v>
      </c>
      <c r="F785">
        <v>316210</v>
      </c>
      <c r="G785" s="35" t="s">
        <v>2258</v>
      </c>
      <c r="H785" s="31" t="s">
        <v>2386</v>
      </c>
      <c r="J785" t="s">
        <v>77</v>
      </c>
      <c r="M785">
        <v>190</v>
      </c>
      <c r="P785" t="s">
        <v>78</v>
      </c>
      <c r="Q785" s="55">
        <v>201.81818181818181</v>
      </c>
      <c r="R785" s="32">
        <v>111</v>
      </c>
      <c r="S785" s="33">
        <v>0.33</v>
      </c>
      <c r="T785" s="34">
        <f t="shared" si="25"/>
        <v>165.67164179104481</v>
      </c>
      <c r="U785" s="34">
        <f t="shared" si="26"/>
        <v>167.74253731343285</v>
      </c>
      <c r="V785" t="s">
        <v>79</v>
      </c>
      <c r="W785" s="32">
        <v>15</v>
      </c>
      <c r="X785" s="32" t="s">
        <v>80</v>
      </c>
      <c r="AD785" s="1">
        <v>195022166473</v>
      </c>
      <c r="AN785">
        <v>30</v>
      </c>
      <c r="AO785" t="s">
        <v>81</v>
      </c>
    </row>
    <row r="786" spans="1:41" ht="90" x14ac:dyDescent="0.25">
      <c r="A786" s="2">
        <v>195022166626</v>
      </c>
      <c r="B786" t="s">
        <v>71</v>
      </c>
      <c r="C786" t="s">
        <v>72</v>
      </c>
      <c r="D786" t="s">
        <v>2387</v>
      </c>
      <c r="E786" t="s">
        <v>2388</v>
      </c>
      <c r="F786">
        <v>316210</v>
      </c>
      <c r="G786" s="35" t="s">
        <v>2258</v>
      </c>
      <c r="H786" s="31" t="s">
        <v>2389</v>
      </c>
      <c r="J786" t="s">
        <v>77</v>
      </c>
      <c r="M786">
        <v>190</v>
      </c>
      <c r="P786" t="s">
        <v>78</v>
      </c>
      <c r="Q786" s="55">
        <v>201.81818181818181</v>
      </c>
      <c r="R786" s="32">
        <v>111</v>
      </c>
      <c r="S786" s="33">
        <v>0.33</v>
      </c>
      <c r="T786" s="34">
        <f t="shared" si="25"/>
        <v>165.67164179104481</v>
      </c>
      <c r="U786" s="34">
        <f t="shared" si="26"/>
        <v>167.74253731343285</v>
      </c>
      <c r="V786" t="s">
        <v>79</v>
      </c>
      <c r="W786" s="32">
        <v>15</v>
      </c>
      <c r="X786" s="32" t="s">
        <v>80</v>
      </c>
      <c r="AD786" s="1">
        <v>195022166626</v>
      </c>
      <c r="AN786">
        <v>30</v>
      </c>
      <c r="AO786" t="s">
        <v>81</v>
      </c>
    </row>
    <row r="787" spans="1:41" ht="90" x14ac:dyDescent="0.25">
      <c r="A787" s="2">
        <v>195022166480</v>
      </c>
      <c r="B787" t="s">
        <v>71</v>
      </c>
      <c r="C787" t="s">
        <v>72</v>
      </c>
      <c r="D787" t="s">
        <v>2390</v>
      </c>
      <c r="E787" t="s">
        <v>2391</v>
      </c>
      <c r="F787">
        <v>316210</v>
      </c>
      <c r="G787" s="35" t="s">
        <v>2258</v>
      </c>
      <c r="H787" s="31" t="s">
        <v>2389</v>
      </c>
      <c r="J787" t="s">
        <v>77</v>
      </c>
      <c r="M787">
        <v>190</v>
      </c>
      <c r="P787" t="s">
        <v>78</v>
      </c>
      <c r="Q787" s="55">
        <v>201.81818181818181</v>
      </c>
      <c r="R787" s="32">
        <v>111</v>
      </c>
      <c r="S787" s="33">
        <v>0.33</v>
      </c>
      <c r="T787" s="34">
        <f t="shared" si="25"/>
        <v>165.67164179104481</v>
      </c>
      <c r="U787" s="34">
        <f t="shared" si="26"/>
        <v>167.74253731343285</v>
      </c>
      <c r="V787" t="s">
        <v>79</v>
      </c>
      <c r="W787" s="32">
        <v>15</v>
      </c>
      <c r="X787" s="32" t="s">
        <v>80</v>
      </c>
      <c r="AD787" s="1">
        <v>195022166480</v>
      </c>
      <c r="AN787">
        <v>30</v>
      </c>
      <c r="AO787" t="s">
        <v>81</v>
      </c>
    </row>
    <row r="788" spans="1:41" ht="90" x14ac:dyDescent="0.25">
      <c r="A788" s="2">
        <v>195022166633</v>
      </c>
      <c r="B788" t="s">
        <v>71</v>
      </c>
      <c r="C788" t="s">
        <v>72</v>
      </c>
      <c r="D788" t="s">
        <v>2392</v>
      </c>
      <c r="E788" t="s">
        <v>2393</v>
      </c>
      <c r="F788">
        <v>316210</v>
      </c>
      <c r="G788" s="35" t="s">
        <v>2258</v>
      </c>
      <c r="H788" s="31" t="s">
        <v>2394</v>
      </c>
      <c r="J788" t="s">
        <v>77</v>
      </c>
      <c r="M788">
        <v>190</v>
      </c>
      <c r="P788" t="s">
        <v>78</v>
      </c>
      <c r="Q788" s="55">
        <v>201.81818181818181</v>
      </c>
      <c r="R788" s="32">
        <v>111</v>
      </c>
      <c r="S788" s="33">
        <v>0.33</v>
      </c>
      <c r="T788" s="34">
        <f t="shared" si="25"/>
        <v>165.67164179104481</v>
      </c>
      <c r="U788" s="34">
        <f t="shared" si="26"/>
        <v>167.74253731343285</v>
      </c>
      <c r="V788" t="s">
        <v>79</v>
      </c>
      <c r="W788" s="32">
        <v>15</v>
      </c>
      <c r="X788" s="32" t="s">
        <v>80</v>
      </c>
      <c r="AD788" s="1">
        <v>195022166633</v>
      </c>
      <c r="AN788">
        <v>30</v>
      </c>
      <c r="AO788" t="s">
        <v>81</v>
      </c>
    </row>
    <row r="789" spans="1:41" ht="90" x14ac:dyDescent="0.25">
      <c r="A789" s="2">
        <v>195022166497</v>
      </c>
      <c r="B789" t="s">
        <v>71</v>
      </c>
      <c r="C789" t="s">
        <v>72</v>
      </c>
      <c r="D789" t="s">
        <v>2395</v>
      </c>
      <c r="E789" t="s">
        <v>2396</v>
      </c>
      <c r="F789">
        <v>316210</v>
      </c>
      <c r="G789" s="35" t="s">
        <v>2258</v>
      </c>
      <c r="H789" s="31" t="s">
        <v>2397</v>
      </c>
      <c r="J789" t="s">
        <v>77</v>
      </c>
      <c r="M789">
        <v>190</v>
      </c>
      <c r="P789" t="s">
        <v>78</v>
      </c>
      <c r="Q789" s="55">
        <v>201.81818181818181</v>
      </c>
      <c r="R789" s="32">
        <v>111</v>
      </c>
      <c r="S789" s="33">
        <v>0.33</v>
      </c>
      <c r="T789" s="34">
        <f t="shared" si="25"/>
        <v>165.67164179104481</v>
      </c>
      <c r="U789" s="34">
        <f t="shared" si="26"/>
        <v>167.74253731343285</v>
      </c>
      <c r="V789" t="s">
        <v>79</v>
      </c>
      <c r="W789" s="32">
        <v>15</v>
      </c>
      <c r="X789" s="32" t="s">
        <v>80</v>
      </c>
      <c r="AD789" s="1">
        <v>195022166497</v>
      </c>
      <c r="AN789">
        <v>30</v>
      </c>
      <c r="AO789" t="s">
        <v>81</v>
      </c>
    </row>
    <row r="790" spans="1:41" ht="90" x14ac:dyDescent="0.25">
      <c r="A790" s="2">
        <v>195022166640</v>
      </c>
      <c r="B790" t="s">
        <v>71</v>
      </c>
      <c r="C790" t="s">
        <v>72</v>
      </c>
      <c r="D790" t="s">
        <v>2398</v>
      </c>
      <c r="E790" t="s">
        <v>2399</v>
      </c>
      <c r="F790">
        <v>316210</v>
      </c>
      <c r="G790" s="35" t="s">
        <v>2258</v>
      </c>
      <c r="H790" s="31" t="s">
        <v>2346</v>
      </c>
      <c r="J790" t="s">
        <v>77</v>
      </c>
      <c r="M790">
        <v>190</v>
      </c>
      <c r="P790" t="s">
        <v>78</v>
      </c>
      <c r="Q790" s="55">
        <v>201.81818181818181</v>
      </c>
      <c r="R790" s="32">
        <v>111</v>
      </c>
      <c r="S790" s="33">
        <v>0.33</v>
      </c>
      <c r="T790" s="34">
        <f t="shared" si="25"/>
        <v>165.67164179104481</v>
      </c>
      <c r="U790" s="34">
        <f t="shared" si="26"/>
        <v>167.74253731343285</v>
      </c>
      <c r="V790" t="s">
        <v>79</v>
      </c>
      <c r="W790" s="32">
        <v>15</v>
      </c>
      <c r="X790" s="32" t="s">
        <v>80</v>
      </c>
      <c r="AD790" s="1">
        <v>195022166640</v>
      </c>
      <c r="AN790">
        <v>30</v>
      </c>
      <c r="AO790" t="s">
        <v>81</v>
      </c>
    </row>
    <row r="791" spans="1:41" ht="90" x14ac:dyDescent="0.25">
      <c r="A791" s="2">
        <v>195022166503</v>
      </c>
      <c r="B791" t="s">
        <v>71</v>
      </c>
      <c r="C791" t="s">
        <v>72</v>
      </c>
      <c r="D791" t="s">
        <v>2400</v>
      </c>
      <c r="E791" t="s">
        <v>2401</v>
      </c>
      <c r="F791">
        <v>316210</v>
      </c>
      <c r="G791" s="35" t="s">
        <v>2258</v>
      </c>
      <c r="H791" s="31" t="s">
        <v>2402</v>
      </c>
      <c r="J791" t="s">
        <v>77</v>
      </c>
      <c r="M791">
        <v>190</v>
      </c>
      <c r="P791" t="s">
        <v>78</v>
      </c>
      <c r="Q791" s="55">
        <v>201.81818181818181</v>
      </c>
      <c r="R791" s="32">
        <v>111</v>
      </c>
      <c r="S791" s="33">
        <v>0.33</v>
      </c>
      <c r="T791" s="34">
        <f t="shared" si="25"/>
        <v>165.67164179104481</v>
      </c>
      <c r="U791" s="34">
        <f t="shared" si="26"/>
        <v>167.74253731343285</v>
      </c>
      <c r="V791" t="s">
        <v>79</v>
      </c>
      <c r="W791" s="32">
        <v>15</v>
      </c>
      <c r="X791" s="32" t="s">
        <v>80</v>
      </c>
      <c r="AD791" s="1">
        <v>195022166503</v>
      </c>
      <c r="AN791">
        <v>30</v>
      </c>
      <c r="AO791" t="s">
        <v>81</v>
      </c>
    </row>
    <row r="792" spans="1:41" ht="90" x14ac:dyDescent="0.25">
      <c r="A792" s="2">
        <v>195022166657</v>
      </c>
      <c r="B792" t="s">
        <v>71</v>
      </c>
      <c r="C792" t="s">
        <v>72</v>
      </c>
      <c r="D792" t="s">
        <v>2403</v>
      </c>
      <c r="E792" t="s">
        <v>2404</v>
      </c>
      <c r="F792">
        <v>316210</v>
      </c>
      <c r="G792" s="35" t="s">
        <v>2258</v>
      </c>
      <c r="H792" s="31" t="s">
        <v>2405</v>
      </c>
      <c r="J792" t="s">
        <v>77</v>
      </c>
      <c r="M792">
        <v>190</v>
      </c>
      <c r="P792" t="s">
        <v>78</v>
      </c>
      <c r="Q792" s="55">
        <v>201.81818181818181</v>
      </c>
      <c r="R792" s="32">
        <v>111</v>
      </c>
      <c r="S792" s="33">
        <v>0.33</v>
      </c>
      <c r="T792" s="34">
        <f t="shared" si="25"/>
        <v>165.67164179104481</v>
      </c>
      <c r="U792" s="34">
        <f t="shared" si="26"/>
        <v>167.74253731343285</v>
      </c>
      <c r="V792" t="s">
        <v>79</v>
      </c>
      <c r="W792" s="32">
        <v>15</v>
      </c>
      <c r="X792" s="32" t="s">
        <v>80</v>
      </c>
      <c r="AD792" s="1">
        <v>195022166657</v>
      </c>
      <c r="AN792">
        <v>30</v>
      </c>
      <c r="AO792" t="s">
        <v>81</v>
      </c>
    </row>
    <row r="793" spans="1:41" ht="90" x14ac:dyDescent="0.25">
      <c r="A793" s="2">
        <v>195022166510</v>
      </c>
      <c r="B793" t="s">
        <v>71</v>
      </c>
      <c r="C793" t="s">
        <v>72</v>
      </c>
      <c r="D793" t="s">
        <v>2406</v>
      </c>
      <c r="E793" t="s">
        <v>2407</v>
      </c>
      <c r="F793">
        <v>316210</v>
      </c>
      <c r="G793" s="35" t="s">
        <v>2258</v>
      </c>
      <c r="H793" s="31" t="s">
        <v>2408</v>
      </c>
      <c r="J793" t="s">
        <v>77</v>
      </c>
      <c r="M793">
        <v>190</v>
      </c>
      <c r="P793" t="s">
        <v>78</v>
      </c>
      <c r="Q793" s="55">
        <v>201.81818181818181</v>
      </c>
      <c r="R793" s="32">
        <v>111</v>
      </c>
      <c r="S793" s="33">
        <v>0.33</v>
      </c>
      <c r="T793" s="34">
        <f t="shared" si="25"/>
        <v>165.67164179104481</v>
      </c>
      <c r="U793" s="34">
        <f t="shared" si="26"/>
        <v>167.74253731343285</v>
      </c>
      <c r="V793" t="s">
        <v>79</v>
      </c>
      <c r="W793" s="32">
        <v>15</v>
      </c>
      <c r="X793" s="32" t="s">
        <v>80</v>
      </c>
      <c r="AD793" s="1">
        <v>195022166510</v>
      </c>
      <c r="AN793">
        <v>30</v>
      </c>
      <c r="AO793" t="s">
        <v>81</v>
      </c>
    </row>
    <row r="794" spans="1:41" ht="90" x14ac:dyDescent="0.25">
      <c r="A794" s="2">
        <v>195022166664</v>
      </c>
      <c r="B794" t="s">
        <v>71</v>
      </c>
      <c r="C794" t="s">
        <v>72</v>
      </c>
      <c r="D794" t="s">
        <v>2409</v>
      </c>
      <c r="E794" t="s">
        <v>2410</v>
      </c>
      <c r="F794">
        <v>316210</v>
      </c>
      <c r="G794" s="35" t="s">
        <v>2258</v>
      </c>
      <c r="H794" s="31" t="s">
        <v>2411</v>
      </c>
      <c r="J794" t="s">
        <v>77</v>
      </c>
      <c r="M794">
        <v>190</v>
      </c>
      <c r="P794" t="s">
        <v>78</v>
      </c>
      <c r="Q794" s="55">
        <v>201.81818181818181</v>
      </c>
      <c r="R794" s="32">
        <v>111</v>
      </c>
      <c r="S794" s="33">
        <v>0.33</v>
      </c>
      <c r="T794" s="34">
        <f t="shared" si="25"/>
        <v>165.67164179104481</v>
      </c>
      <c r="U794" s="34">
        <f t="shared" si="26"/>
        <v>167.74253731343285</v>
      </c>
      <c r="V794" t="s">
        <v>79</v>
      </c>
      <c r="W794" s="32">
        <v>15</v>
      </c>
      <c r="X794" s="32" t="s">
        <v>80</v>
      </c>
      <c r="AD794" s="1">
        <v>195022166664</v>
      </c>
      <c r="AN794">
        <v>30</v>
      </c>
      <c r="AO794" t="s">
        <v>81</v>
      </c>
    </row>
    <row r="795" spans="1:41" ht="90" x14ac:dyDescent="0.25">
      <c r="A795" s="2">
        <v>195022166527</v>
      </c>
      <c r="B795" t="s">
        <v>71</v>
      </c>
      <c r="C795" t="s">
        <v>72</v>
      </c>
      <c r="D795" t="s">
        <v>2412</v>
      </c>
      <c r="E795" t="s">
        <v>2413</v>
      </c>
      <c r="F795">
        <v>316210</v>
      </c>
      <c r="G795" s="35" t="s">
        <v>2258</v>
      </c>
      <c r="H795" s="31" t="s">
        <v>2414</v>
      </c>
      <c r="J795" t="s">
        <v>77</v>
      </c>
      <c r="M795">
        <v>190</v>
      </c>
      <c r="P795" t="s">
        <v>78</v>
      </c>
      <c r="Q795" s="55">
        <v>201.81818181818181</v>
      </c>
      <c r="R795" s="32">
        <v>111</v>
      </c>
      <c r="S795" s="33">
        <v>0.33</v>
      </c>
      <c r="T795" s="34">
        <f t="shared" si="25"/>
        <v>165.67164179104481</v>
      </c>
      <c r="U795" s="34">
        <f t="shared" si="26"/>
        <v>167.74253731343285</v>
      </c>
      <c r="V795" t="s">
        <v>79</v>
      </c>
      <c r="W795" s="32">
        <v>15</v>
      </c>
      <c r="X795" s="32" t="s">
        <v>80</v>
      </c>
      <c r="AD795" s="1">
        <v>195022166527</v>
      </c>
      <c r="AN795">
        <v>30</v>
      </c>
      <c r="AO795" t="s">
        <v>81</v>
      </c>
    </row>
    <row r="796" spans="1:41" ht="90" x14ac:dyDescent="0.25">
      <c r="A796" s="2">
        <v>195022166671</v>
      </c>
      <c r="B796" t="s">
        <v>71</v>
      </c>
      <c r="C796" t="s">
        <v>72</v>
      </c>
      <c r="D796" t="s">
        <v>2415</v>
      </c>
      <c r="E796" t="s">
        <v>2416</v>
      </c>
      <c r="F796">
        <v>316210</v>
      </c>
      <c r="G796" s="35" t="s">
        <v>2258</v>
      </c>
      <c r="H796" s="31" t="s">
        <v>2417</v>
      </c>
      <c r="J796" t="s">
        <v>77</v>
      </c>
      <c r="M796">
        <v>190</v>
      </c>
      <c r="P796" t="s">
        <v>78</v>
      </c>
      <c r="Q796" s="55">
        <v>201.81818181818181</v>
      </c>
      <c r="R796" s="32">
        <v>111</v>
      </c>
      <c r="S796" s="33">
        <v>0.33</v>
      </c>
      <c r="T796" s="34">
        <f t="shared" si="25"/>
        <v>165.67164179104481</v>
      </c>
      <c r="U796" s="34">
        <f t="shared" si="26"/>
        <v>167.74253731343285</v>
      </c>
      <c r="V796" t="s">
        <v>79</v>
      </c>
      <c r="W796" s="32">
        <v>15</v>
      </c>
      <c r="X796" s="32" t="s">
        <v>80</v>
      </c>
      <c r="AD796" s="1">
        <v>195022166671</v>
      </c>
      <c r="AN796">
        <v>30</v>
      </c>
      <c r="AO796" t="s">
        <v>81</v>
      </c>
    </row>
    <row r="797" spans="1:41" ht="90" x14ac:dyDescent="0.25">
      <c r="A797" s="2">
        <v>195022166534</v>
      </c>
      <c r="B797" t="s">
        <v>71</v>
      </c>
      <c r="C797" t="s">
        <v>72</v>
      </c>
      <c r="D797" t="s">
        <v>2418</v>
      </c>
      <c r="E797" t="s">
        <v>2419</v>
      </c>
      <c r="F797">
        <v>316210</v>
      </c>
      <c r="G797" s="35" t="s">
        <v>2258</v>
      </c>
      <c r="H797" s="31" t="s">
        <v>2420</v>
      </c>
      <c r="J797" t="s">
        <v>77</v>
      </c>
      <c r="M797">
        <v>190</v>
      </c>
      <c r="P797" t="s">
        <v>78</v>
      </c>
      <c r="Q797" s="55">
        <v>201.81818181818181</v>
      </c>
      <c r="R797" s="32">
        <v>111</v>
      </c>
      <c r="S797" s="33">
        <v>0.33</v>
      </c>
      <c r="T797" s="34">
        <f t="shared" si="25"/>
        <v>165.67164179104481</v>
      </c>
      <c r="U797" s="34">
        <f t="shared" si="26"/>
        <v>167.74253731343285</v>
      </c>
      <c r="V797" t="s">
        <v>79</v>
      </c>
      <c r="W797" s="32">
        <v>15</v>
      </c>
      <c r="X797" s="32" t="s">
        <v>80</v>
      </c>
      <c r="AD797" s="1">
        <v>195022166534</v>
      </c>
      <c r="AN797">
        <v>30</v>
      </c>
      <c r="AO797" t="s">
        <v>81</v>
      </c>
    </row>
    <row r="798" spans="1:41" ht="105" x14ac:dyDescent="0.25">
      <c r="A798" s="2">
        <v>195018760210</v>
      </c>
      <c r="B798" t="s">
        <v>71</v>
      </c>
      <c r="C798" t="s">
        <v>72</v>
      </c>
      <c r="D798" t="s">
        <v>2421</v>
      </c>
      <c r="E798" t="s">
        <v>2422</v>
      </c>
      <c r="F798">
        <v>316210</v>
      </c>
      <c r="G798" s="35" t="s">
        <v>2149</v>
      </c>
      <c r="H798" s="31" t="s">
        <v>2423</v>
      </c>
      <c r="J798" t="s">
        <v>77</v>
      </c>
      <c r="M798">
        <v>220</v>
      </c>
      <c r="P798" t="s">
        <v>78</v>
      </c>
      <c r="Q798" s="55">
        <v>201.81818181818181</v>
      </c>
      <c r="R798" s="32">
        <v>111</v>
      </c>
      <c r="S798" s="33">
        <v>0.33</v>
      </c>
      <c r="T798" s="34">
        <f t="shared" si="25"/>
        <v>165.67164179104481</v>
      </c>
      <c r="U798" s="34">
        <f t="shared" si="26"/>
        <v>167.74253731343285</v>
      </c>
      <c r="V798" t="s">
        <v>79</v>
      </c>
      <c r="W798" s="32">
        <v>15</v>
      </c>
      <c r="X798" s="32" t="s">
        <v>80</v>
      </c>
      <c r="AD798" s="1">
        <v>195018760210</v>
      </c>
      <c r="AN798">
        <v>30</v>
      </c>
      <c r="AO798" t="s">
        <v>81</v>
      </c>
    </row>
    <row r="799" spans="1:41" ht="105" x14ac:dyDescent="0.25">
      <c r="A799" s="2">
        <v>195018760074</v>
      </c>
      <c r="B799" t="s">
        <v>71</v>
      </c>
      <c r="C799" t="s">
        <v>72</v>
      </c>
      <c r="D799" t="s">
        <v>2424</v>
      </c>
      <c r="E799" t="s">
        <v>2425</v>
      </c>
      <c r="F799">
        <v>316210</v>
      </c>
      <c r="G799" s="35" t="s">
        <v>2149</v>
      </c>
      <c r="H799" s="31" t="s">
        <v>2426</v>
      </c>
      <c r="J799" t="s">
        <v>77</v>
      </c>
      <c r="M799">
        <v>220</v>
      </c>
      <c r="P799" t="s">
        <v>78</v>
      </c>
      <c r="Q799" s="55">
        <v>201.81818181818181</v>
      </c>
      <c r="R799" s="32">
        <v>111</v>
      </c>
      <c r="S799" s="33">
        <v>0.33</v>
      </c>
      <c r="T799" s="34">
        <f t="shared" si="25"/>
        <v>165.67164179104481</v>
      </c>
      <c r="U799" s="34">
        <f t="shared" si="26"/>
        <v>167.74253731343285</v>
      </c>
      <c r="V799" t="s">
        <v>79</v>
      </c>
      <c r="W799" s="32">
        <v>15</v>
      </c>
      <c r="X799" s="32" t="s">
        <v>80</v>
      </c>
      <c r="AD799" s="1">
        <v>195018760074</v>
      </c>
      <c r="AN799">
        <v>30</v>
      </c>
      <c r="AO799" t="s">
        <v>81</v>
      </c>
    </row>
    <row r="800" spans="1:41" ht="105" x14ac:dyDescent="0.25">
      <c r="A800" s="2">
        <v>195018760227</v>
      </c>
      <c r="B800" t="s">
        <v>71</v>
      </c>
      <c r="C800" t="s">
        <v>72</v>
      </c>
      <c r="D800" t="s">
        <v>2427</v>
      </c>
      <c r="E800" t="s">
        <v>2428</v>
      </c>
      <c r="F800">
        <v>316210</v>
      </c>
      <c r="G800" s="35" t="s">
        <v>2149</v>
      </c>
      <c r="H800" s="31" t="s">
        <v>2429</v>
      </c>
      <c r="J800" t="s">
        <v>77</v>
      </c>
      <c r="M800">
        <v>220</v>
      </c>
      <c r="P800" t="s">
        <v>78</v>
      </c>
      <c r="Q800" s="55">
        <v>201.81818181818181</v>
      </c>
      <c r="R800" s="32">
        <v>111</v>
      </c>
      <c r="S800" s="33">
        <v>0.33</v>
      </c>
      <c r="T800" s="34">
        <f t="shared" si="25"/>
        <v>165.67164179104481</v>
      </c>
      <c r="U800" s="34">
        <f t="shared" si="26"/>
        <v>167.74253731343285</v>
      </c>
      <c r="V800" t="s">
        <v>79</v>
      </c>
      <c r="W800" s="32">
        <v>15</v>
      </c>
      <c r="X800" s="32" t="s">
        <v>80</v>
      </c>
      <c r="AD800" s="1">
        <v>195018760227</v>
      </c>
      <c r="AN800">
        <v>30</v>
      </c>
      <c r="AO800" t="s">
        <v>81</v>
      </c>
    </row>
    <row r="801" spans="1:41" ht="105" x14ac:dyDescent="0.25">
      <c r="A801" s="2">
        <v>195018760081</v>
      </c>
      <c r="B801" t="s">
        <v>71</v>
      </c>
      <c r="C801" t="s">
        <v>72</v>
      </c>
      <c r="D801" t="s">
        <v>2430</v>
      </c>
      <c r="E801" t="s">
        <v>2431</v>
      </c>
      <c r="F801">
        <v>316210</v>
      </c>
      <c r="G801" s="35" t="s">
        <v>2149</v>
      </c>
      <c r="H801" s="31" t="s">
        <v>2432</v>
      </c>
      <c r="J801" t="s">
        <v>77</v>
      </c>
      <c r="M801">
        <v>220</v>
      </c>
      <c r="P801" t="s">
        <v>78</v>
      </c>
      <c r="Q801" s="55">
        <v>201.81818181818181</v>
      </c>
      <c r="R801" s="32">
        <v>111</v>
      </c>
      <c r="S801" s="33">
        <v>0.33</v>
      </c>
      <c r="T801" s="34">
        <f t="shared" si="25"/>
        <v>165.67164179104481</v>
      </c>
      <c r="U801" s="34">
        <f t="shared" si="26"/>
        <v>167.74253731343285</v>
      </c>
      <c r="V801" t="s">
        <v>79</v>
      </c>
      <c r="W801" s="32">
        <v>15</v>
      </c>
      <c r="X801" s="32" t="s">
        <v>80</v>
      </c>
      <c r="AD801" s="1">
        <v>195018760081</v>
      </c>
      <c r="AN801">
        <v>30</v>
      </c>
      <c r="AO801" t="s">
        <v>81</v>
      </c>
    </row>
    <row r="802" spans="1:41" ht="105" x14ac:dyDescent="0.25">
      <c r="A802" s="2">
        <v>195018760234</v>
      </c>
      <c r="B802" t="s">
        <v>71</v>
      </c>
      <c r="C802" t="s">
        <v>72</v>
      </c>
      <c r="D802" t="s">
        <v>2433</v>
      </c>
      <c r="E802" t="s">
        <v>2434</v>
      </c>
      <c r="F802">
        <v>316210</v>
      </c>
      <c r="G802" s="35" t="s">
        <v>2149</v>
      </c>
      <c r="H802" s="31" t="s">
        <v>2435</v>
      </c>
      <c r="J802" t="s">
        <v>77</v>
      </c>
      <c r="M802">
        <v>220</v>
      </c>
      <c r="P802" t="s">
        <v>78</v>
      </c>
      <c r="Q802" s="55">
        <v>201.81818181818181</v>
      </c>
      <c r="R802" s="32">
        <v>111</v>
      </c>
      <c r="S802" s="33">
        <v>0.33</v>
      </c>
      <c r="T802" s="34">
        <f t="shared" si="25"/>
        <v>165.67164179104481</v>
      </c>
      <c r="U802" s="34">
        <f t="shared" si="26"/>
        <v>167.74253731343285</v>
      </c>
      <c r="V802" t="s">
        <v>79</v>
      </c>
      <c r="W802" s="32">
        <v>15</v>
      </c>
      <c r="X802" s="32" t="s">
        <v>80</v>
      </c>
      <c r="AD802" s="1">
        <v>195018760234</v>
      </c>
      <c r="AN802">
        <v>30</v>
      </c>
      <c r="AO802" t="s">
        <v>81</v>
      </c>
    </row>
    <row r="803" spans="1:41" ht="105" x14ac:dyDescent="0.25">
      <c r="A803" s="2">
        <v>195018760098</v>
      </c>
      <c r="B803" t="s">
        <v>71</v>
      </c>
      <c r="C803" t="s">
        <v>72</v>
      </c>
      <c r="D803" t="s">
        <v>2436</v>
      </c>
      <c r="E803" t="s">
        <v>2437</v>
      </c>
      <c r="F803">
        <v>316210</v>
      </c>
      <c r="G803" s="35" t="s">
        <v>2149</v>
      </c>
      <c r="H803" s="31" t="s">
        <v>2438</v>
      </c>
      <c r="J803" t="s">
        <v>77</v>
      </c>
      <c r="M803">
        <v>220</v>
      </c>
      <c r="P803" t="s">
        <v>78</v>
      </c>
      <c r="Q803" s="55">
        <v>201.81818181818181</v>
      </c>
      <c r="R803" s="32">
        <v>111</v>
      </c>
      <c r="S803" s="33">
        <v>0.33</v>
      </c>
      <c r="T803" s="34">
        <f t="shared" si="25"/>
        <v>165.67164179104481</v>
      </c>
      <c r="U803" s="34">
        <f t="shared" si="26"/>
        <v>167.74253731343285</v>
      </c>
      <c r="V803" t="s">
        <v>79</v>
      </c>
      <c r="W803" s="32">
        <v>15</v>
      </c>
      <c r="X803" s="32" t="s">
        <v>80</v>
      </c>
      <c r="AD803" s="1">
        <v>195018760098</v>
      </c>
      <c r="AN803">
        <v>30</v>
      </c>
      <c r="AO803" t="s">
        <v>81</v>
      </c>
    </row>
    <row r="804" spans="1:41" ht="105" x14ac:dyDescent="0.25">
      <c r="A804" s="2">
        <v>195018760241</v>
      </c>
      <c r="B804" t="s">
        <v>71</v>
      </c>
      <c r="C804" t="s">
        <v>72</v>
      </c>
      <c r="D804" t="s">
        <v>2439</v>
      </c>
      <c r="E804" t="s">
        <v>2440</v>
      </c>
      <c r="F804">
        <v>316210</v>
      </c>
      <c r="G804" s="35" t="s">
        <v>2149</v>
      </c>
      <c r="H804" s="31" t="s">
        <v>2441</v>
      </c>
      <c r="J804" t="s">
        <v>77</v>
      </c>
      <c r="M804">
        <v>220</v>
      </c>
      <c r="P804" t="s">
        <v>78</v>
      </c>
      <c r="Q804" s="55">
        <v>201.81818181818181</v>
      </c>
      <c r="R804" s="32">
        <v>111</v>
      </c>
      <c r="S804" s="33">
        <v>0.33</v>
      </c>
      <c r="T804" s="34">
        <f t="shared" si="25"/>
        <v>165.67164179104481</v>
      </c>
      <c r="U804" s="34">
        <f t="shared" si="26"/>
        <v>167.74253731343285</v>
      </c>
      <c r="V804" t="s">
        <v>79</v>
      </c>
      <c r="W804" s="32">
        <v>15</v>
      </c>
      <c r="X804" s="32" t="s">
        <v>80</v>
      </c>
      <c r="AD804" s="1">
        <v>195018760241</v>
      </c>
      <c r="AN804">
        <v>30</v>
      </c>
      <c r="AO804" t="s">
        <v>81</v>
      </c>
    </row>
    <row r="805" spans="1:41" ht="105" x14ac:dyDescent="0.25">
      <c r="A805" s="2">
        <v>195018760104</v>
      </c>
      <c r="B805" t="s">
        <v>71</v>
      </c>
      <c r="C805" t="s">
        <v>72</v>
      </c>
      <c r="D805" t="s">
        <v>2442</v>
      </c>
      <c r="E805" t="s">
        <v>2443</v>
      </c>
      <c r="F805">
        <v>316210</v>
      </c>
      <c r="G805" s="35" t="s">
        <v>2149</v>
      </c>
      <c r="H805" s="31" t="s">
        <v>2444</v>
      </c>
      <c r="J805" t="s">
        <v>77</v>
      </c>
      <c r="M805">
        <v>220</v>
      </c>
      <c r="P805" t="s">
        <v>78</v>
      </c>
      <c r="Q805" s="55">
        <v>201.81818181818181</v>
      </c>
      <c r="R805" s="32">
        <v>111</v>
      </c>
      <c r="S805" s="33">
        <v>0.33</v>
      </c>
      <c r="T805" s="34">
        <f t="shared" si="25"/>
        <v>165.67164179104481</v>
      </c>
      <c r="U805" s="34">
        <f t="shared" si="26"/>
        <v>167.74253731343285</v>
      </c>
      <c r="V805" t="s">
        <v>79</v>
      </c>
      <c r="W805" s="32">
        <v>15</v>
      </c>
      <c r="X805" s="32" t="s">
        <v>80</v>
      </c>
      <c r="AD805" s="1">
        <v>195018760104</v>
      </c>
      <c r="AN805">
        <v>30</v>
      </c>
      <c r="AO805" t="s">
        <v>81</v>
      </c>
    </row>
    <row r="806" spans="1:41" ht="105" x14ac:dyDescent="0.25">
      <c r="A806" s="2">
        <v>195018760258</v>
      </c>
      <c r="B806" t="s">
        <v>71</v>
      </c>
      <c r="C806" t="s">
        <v>72</v>
      </c>
      <c r="D806" t="s">
        <v>2445</v>
      </c>
      <c r="E806" t="s">
        <v>2446</v>
      </c>
      <c r="F806">
        <v>316210</v>
      </c>
      <c r="G806" s="35" t="s">
        <v>2149</v>
      </c>
      <c r="H806" s="31" t="s">
        <v>2447</v>
      </c>
      <c r="J806" t="s">
        <v>77</v>
      </c>
      <c r="M806">
        <v>220</v>
      </c>
      <c r="P806" t="s">
        <v>78</v>
      </c>
      <c r="Q806" s="55">
        <v>201.81818181818181</v>
      </c>
      <c r="R806" s="32">
        <v>111</v>
      </c>
      <c r="S806" s="33">
        <v>0.33</v>
      </c>
      <c r="T806" s="34">
        <f t="shared" si="25"/>
        <v>165.67164179104481</v>
      </c>
      <c r="U806" s="34">
        <f t="shared" si="26"/>
        <v>167.74253731343285</v>
      </c>
      <c r="V806" t="s">
        <v>79</v>
      </c>
      <c r="W806" s="32">
        <v>15</v>
      </c>
      <c r="X806" s="32" t="s">
        <v>80</v>
      </c>
      <c r="AD806" s="1">
        <v>195018760258</v>
      </c>
      <c r="AN806">
        <v>30</v>
      </c>
      <c r="AO806" t="s">
        <v>81</v>
      </c>
    </row>
    <row r="807" spans="1:41" ht="105" x14ac:dyDescent="0.25">
      <c r="A807" s="2">
        <v>195018760111</v>
      </c>
      <c r="B807" t="s">
        <v>71</v>
      </c>
      <c r="C807" t="s">
        <v>72</v>
      </c>
      <c r="D807" t="s">
        <v>2448</v>
      </c>
      <c r="E807" t="s">
        <v>2449</v>
      </c>
      <c r="F807">
        <v>316210</v>
      </c>
      <c r="G807" s="35" t="s">
        <v>2149</v>
      </c>
      <c r="H807" s="31" t="s">
        <v>2450</v>
      </c>
      <c r="J807" t="s">
        <v>77</v>
      </c>
      <c r="M807">
        <v>220</v>
      </c>
      <c r="P807" t="s">
        <v>78</v>
      </c>
      <c r="Q807" s="55">
        <v>201.81818181818181</v>
      </c>
      <c r="R807" s="32">
        <v>111</v>
      </c>
      <c r="S807" s="33">
        <v>0.33</v>
      </c>
      <c r="T807" s="34">
        <f t="shared" si="25"/>
        <v>165.67164179104481</v>
      </c>
      <c r="U807" s="34">
        <f t="shared" si="26"/>
        <v>167.74253731343285</v>
      </c>
      <c r="V807" t="s">
        <v>79</v>
      </c>
      <c r="W807" s="32">
        <v>15</v>
      </c>
      <c r="X807" s="32" t="s">
        <v>80</v>
      </c>
      <c r="AD807" s="1">
        <v>195018760111</v>
      </c>
      <c r="AN807">
        <v>30</v>
      </c>
      <c r="AO807" t="s">
        <v>81</v>
      </c>
    </row>
    <row r="808" spans="1:41" ht="105" x14ac:dyDescent="0.25">
      <c r="A808" s="2">
        <v>195018760265</v>
      </c>
      <c r="B808" t="s">
        <v>71</v>
      </c>
      <c r="C808" t="s">
        <v>72</v>
      </c>
      <c r="D808" t="s">
        <v>2451</v>
      </c>
      <c r="E808" t="s">
        <v>2452</v>
      </c>
      <c r="F808">
        <v>316210</v>
      </c>
      <c r="G808" s="35" t="s">
        <v>2149</v>
      </c>
      <c r="H808" s="31" t="s">
        <v>2453</v>
      </c>
      <c r="J808" t="s">
        <v>77</v>
      </c>
      <c r="M808">
        <v>220</v>
      </c>
      <c r="P808" t="s">
        <v>78</v>
      </c>
      <c r="Q808" s="55">
        <v>201.81818181818181</v>
      </c>
      <c r="R808" s="32">
        <v>111</v>
      </c>
      <c r="S808" s="33">
        <v>0.33</v>
      </c>
      <c r="T808" s="34">
        <f t="shared" si="25"/>
        <v>165.67164179104481</v>
      </c>
      <c r="U808" s="34">
        <f t="shared" si="26"/>
        <v>167.74253731343285</v>
      </c>
      <c r="V808" t="s">
        <v>79</v>
      </c>
      <c r="W808" s="32">
        <v>15</v>
      </c>
      <c r="X808" s="32" t="s">
        <v>80</v>
      </c>
      <c r="AD808" s="1">
        <v>195018760265</v>
      </c>
      <c r="AN808">
        <v>30</v>
      </c>
      <c r="AO808" t="s">
        <v>81</v>
      </c>
    </row>
    <row r="809" spans="1:41" ht="105" x14ac:dyDescent="0.25">
      <c r="A809" s="2">
        <v>195018760128</v>
      </c>
      <c r="B809" t="s">
        <v>71</v>
      </c>
      <c r="C809" t="s">
        <v>72</v>
      </c>
      <c r="D809" t="s">
        <v>2454</v>
      </c>
      <c r="E809" t="s">
        <v>2455</v>
      </c>
      <c r="F809">
        <v>316210</v>
      </c>
      <c r="G809" s="35" t="s">
        <v>2149</v>
      </c>
      <c r="H809" s="31" t="s">
        <v>2456</v>
      </c>
      <c r="J809" t="s">
        <v>77</v>
      </c>
      <c r="M809">
        <v>220</v>
      </c>
      <c r="P809" t="s">
        <v>78</v>
      </c>
      <c r="Q809" s="55">
        <v>201.81818181818181</v>
      </c>
      <c r="R809" s="32">
        <v>111</v>
      </c>
      <c r="S809" s="33">
        <v>0.33</v>
      </c>
      <c r="T809" s="34">
        <f t="shared" si="25"/>
        <v>165.67164179104481</v>
      </c>
      <c r="U809" s="34">
        <f t="shared" si="26"/>
        <v>167.74253731343285</v>
      </c>
      <c r="V809" t="s">
        <v>79</v>
      </c>
      <c r="W809" s="32">
        <v>15</v>
      </c>
      <c r="X809" s="32" t="s">
        <v>80</v>
      </c>
      <c r="AD809" s="1">
        <v>195018760128</v>
      </c>
      <c r="AN809">
        <v>30</v>
      </c>
      <c r="AO809" t="s">
        <v>81</v>
      </c>
    </row>
    <row r="810" spans="1:41" ht="105" x14ac:dyDescent="0.25">
      <c r="A810" s="2">
        <v>195018760272</v>
      </c>
      <c r="B810" t="s">
        <v>71</v>
      </c>
      <c r="C810" t="s">
        <v>72</v>
      </c>
      <c r="D810" t="s">
        <v>2457</v>
      </c>
      <c r="E810" t="s">
        <v>2458</v>
      </c>
      <c r="F810">
        <v>316210</v>
      </c>
      <c r="G810" s="35" t="s">
        <v>2149</v>
      </c>
      <c r="H810" s="31" t="s">
        <v>2459</v>
      </c>
      <c r="J810" t="s">
        <v>77</v>
      </c>
      <c r="M810">
        <v>220</v>
      </c>
      <c r="P810" t="s">
        <v>78</v>
      </c>
      <c r="Q810" s="55">
        <v>201.81818181818181</v>
      </c>
      <c r="R810" s="32">
        <v>111</v>
      </c>
      <c r="S810" s="33">
        <v>0.33</v>
      </c>
      <c r="T810" s="34">
        <f t="shared" si="25"/>
        <v>165.67164179104481</v>
      </c>
      <c r="U810" s="34">
        <f t="shared" si="26"/>
        <v>167.74253731343285</v>
      </c>
      <c r="V810" t="s">
        <v>79</v>
      </c>
      <c r="W810" s="32">
        <v>15</v>
      </c>
      <c r="X810" s="32" t="s">
        <v>80</v>
      </c>
      <c r="AD810" s="1">
        <v>195018760272</v>
      </c>
      <c r="AN810">
        <v>30</v>
      </c>
      <c r="AO810" t="s">
        <v>81</v>
      </c>
    </row>
    <row r="811" spans="1:41" ht="105" x14ac:dyDescent="0.25">
      <c r="A811" s="2">
        <v>195018760135</v>
      </c>
      <c r="B811" t="s">
        <v>71</v>
      </c>
      <c r="C811" t="s">
        <v>72</v>
      </c>
      <c r="D811" t="s">
        <v>2460</v>
      </c>
      <c r="E811" t="s">
        <v>2461</v>
      </c>
      <c r="F811">
        <v>316210</v>
      </c>
      <c r="G811" s="35" t="s">
        <v>2149</v>
      </c>
      <c r="H811" s="31" t="s">
        <v>2462</v>
      </c>
      <c r="J811" t="s">
        <v>77</v>
      </c>
      <c r="M811">
        <v>220</v>
      </c>
      <c r="P811" t="s">
        <v>78</v>
      </c>
      <c r="Q811" s="55">
        <v>201.81818181818181</v>
      </c>
      <c r="R811" s="32">
        <v>111</v>
      </c>
      <c r="S811" s="33">
        <v>0.33</v>
      </c>
      <c r="T811" s="34">
        <f t="shared" si="25"/>
        <v>165.67164179104481</v>
      </c>
      <c r="U811" s="34">
        <f t="shared" si="26"/>
        <v>167.74253731343285</v>
      </c>
      <c r="V811" t="s">
        <v>79</v>
      </c>
      <c r="W811" s="32">
        <v>15</v>
      </c>
      <c r="X811" s="32" t="s">
        <v>80</v>
      </c>
      <c r="AD811" s="1">
        <v>195018760135</v>
      </c>
      <c r="AN811">
        <v>30</v>
      </c>
      <c r="AO811" t="s">
        <v>81</v>
      </c>
    </row>
    <row r="812" spans="1:41" ht="105" x14ac:dyDescent="0.25">
      <c r="A812" s="2">
        <v>195018760289</v>
      </c>
      <c r="B812" t="s">
        <v>71</v>
      </c>
      <c r="C812" t="s">
        <v>72</v>
      </c>
      <c r="D812" t="s">
        <v>2463</v>
      </c>
      <c r="E812" t="s">
        <v>2464</v>
      </c>
      <c r="F812">
        <v>316210</v>
      </c>
      <c r="G812" s="35" t="s">
        <v>2149</v>
      </c>
      <c r="H812" s="31" t="s">
        <v>2465</v>
      </c>
      <c r="J812" t="s">
        <v>77</v>
      </c>
      <c r="M812">
        <v>220</v>
      </c>
      <c r="P812" t="s">
        <v>78</v>
      </c>
      <c r="Q812" s="55">
        <v>201.81818181818181</v>
      </c>
      <c r="R812" s="32">
        <v>111</v>
      </c>
      <c r="S812" s="33">
        <v>0.33</v>
      </c>
      <c r="T812" s="34">
        <f t="shared" si="25"/>
        <v>165.67164179104481</v>
      </c>
      <c r="U812" s="34">
        <f t="shared" si="26"/>
        <v>167.74253731343285</v>
      </c>
      <c r="V812" t="s">
        <v>79</v>
      </c>
      <c r="W812" s="32">
        <v>15</v>
      </c>
      <c r="X812" s="32" t="s">
        <v>80</v>
      </c>
      <c r="AD812" s="1">
        <v>195018760289</v>
      </c>
      <c r="AN812">
        <v>30</v>
      </c>
      <c r="AO812" t="s">
        <v>81</v>
      </c>
    </row>
    <row r="813" spans="1:41" ht="105" x14ac:dyDescent="0.25">
      <c r="A813" s="2">
        <v>195018760142</v>
      </c>
      <c r="B813" t="s">
        <v>71</v>
      </c>
      <c r="C813" t="s">
        <v>72</v>
      </c>
      <c r="D813" t="s">
        <v>2466</v>
      </c>
      <c r="E813" t="s">
        <v>2467</v>
      </c>
      <c r="F813">
        <v>316210</v>
      </c>
      <c r="G813" s="35" t="s">
        <v>2149</v>
      </c>
      <c r="H813" s="31" t="s">
        <v>2468</v>
      </c>
      <c r="J813" t="s">
        <v>77</v>
      </c>
      <c r="M813">
        <v>220</v>
      </c>
      <c r="P813" t="s">
        <v>78</v>
      </c>
      <c r="Q813" s="55">
        <v>201.81818181818181</v>
      </c>
      <c r="R813" s="32">
        <v>111</v>
      </c>
      <c r="S813" s="33">
        <v>0.33</v>
      </c>
      <c r="T813" s="34">
        <f t="shared" si="25"/>
        <v>165.67164179104481</v>
      </c>
      <c r="U813" s="34">
        <f t="shared" si="26"/>
        <v>167.74253731343285</v>
      </c>
      <c r="V813" t="s">
        <v>79</v>
      </c>
      <c r="W813" s="32">
        <v>15</v>
      </c>
      <c r="X813" s="32" t="s">
        <v>80</v>
      </c>
      <c r="AD813" s="1">
        <v>195018760142</v>
      </c>
      <c r="AN813">
        <v>30</v>
      </c>
      <c r="AO813" t="s">
        <v>81</v>
      </c>
    </row>
    <row r="814" spans="1:41" ht="105" x14ac:dyDescent="0.25">
      <c r="A814" s="2">
        <v>195018760296</v>
      </c>
      <c r="B814" t="s">
        <v>71</v>
      </c>
      <c r="C814" t="s">
        <v>72</v>
      </c>
      <c r="D814" t="s">
        <v>2469</v>
      </c>
      <c r="E814" t="s">
        <v>2470</v>
      </c>
      <c r="F814">
        <v>316210</v>
      </c>
      <c r="G814" s="35" t="s">
        <v>2149</v>
      </c>
      <c r="H814" s="31" t="s">
        <v>2471</v>
      </c>
      <c r="J814" t="s">
        <v>77</v>
      </c>
      <c r="M814">
        <v>220</v>
      </c>
      <c r="P814" t="s">
        <v>78</v>
      </c>
      <c r="Q814" s="55">
        <v>201.81818181818181</v>
      </c>
      <c r="R814" s="32">
        <v>111</v>
      </c>
      <c r="S814" s="33">
        <v>0.33</v>
      </c>
      <c r="T814" s="34">
        <f t="shared" si="25"/>
        <v>165.67164179104481</v>
      </c>
      <c r="U814" s="34">
        <f t="shared" si="26"/>
        <v>167.74253731343285</v>
      </c>
      <c r="V814" t="s">
        <v>79</v>
      </c>
      <c r="W814" s="32">
        <v>15</v>
      </c>
      <c r="X814" s="32" t="s">
        <v>80</v>
      </c>
      <c r="AD814" s="1">
        <v>195018760296</v>
      </c>
      <c r="AN814">
        <v>30</v>
      </c>
      <c r="AO814" t="s">
        <v>81</v>
      </c>
    </row>
    <row r="815" spans="1:41" ht="105" x14ac:dyDescent="0.25">
      <c r="A815" s="2">
        <v>195018760159</v>
      </c>
      <c r="B815" t="s">
        <v>71</v>
      </c>
      <c r="C815" t="s">
        <v>72</v>
      </c>
      <c r="D815" t="s">
        <v>2472</v>
      </c>
      <c r="E815" t="s">
        <v>2473</v>
      </c>
      <c r="F815">
        <v>316210</v>
      </c>
      <c r="G815" s="35" t="s">
        <v>2149</v>
      </c>
      <c r="H815" s="31" t="s">
        <v>2474</v>
      </c>
      <c r="J815" t="s">
        <v>77</v>
      </c>
      <c r="M815">
        <v>220</v>
      </c>
      <c r="P815" t="s">
        <v>78</v>
      </c>
      <c r="Q815" s="55">
        <v>201.81818181818181</v>
      </c>
      <c r="R815" s="32">
        <v>111</v>
      </c>
      <c r="S815" s="33">
        <v>0.33</v>
      </c>
      <c r="T815" s="34">
        <f t="shared" si="25"/>
        <v>165.67164179104481</v>
      </c>
      <c r="U815" s="34">
        <f t="shared" si="26"/>
        <v>167.74253731343285</v>
      </c>
      <c r="V815" t="s">
        <v>79</v>
      </c>
      <c r="W815" s="32">
        <v>15</v>
      </c>
      <c r="X815" s="32" t="s">
        <v>80</v>
      </c>
      <c r="AD815" s="1">
        <v>195018760159</v>
      </c>
      <c r="AN815">
        <v>30</v>
      </c>
      <c r="AO815" t="s">
        <v>81</v>
      </c>
    </row>
    <row r="816" spans="1:41" ht="105" x14ac:dyDescent="0.25">
      <c r="A816" s="2">
        <v>195018760302</v>
      </c>
      <c r="B816" t="s">
        <v>71</v>
      </c>
      <c r="C816" t="s">
        <v>72</v>
      </c>
      <c r="D816" t="s">
        <v>2475</v>
      </c>
      <c r="E816" t="s">
        <v>2476</v>
      </c>
      <c r="F816">
        <v>316210</v>
      </c>
      <c r="G816" s="35" t="s">
        <v>2149</v>
      </c>
      <c r="H816" s="31" t="s">
        <v>2477</v>
      </c>
      <c r="J816" t="s">
        <v>77</v>
      </c>
      <c r="M816">
        <v>220</v>
      </c>
      <c r="P816" t="s">
        <v>78</v>
      </c>
      <c r="Q816" s="55">
        <v>201.81818181818181</v>
      </c>
      <c r="R816" s="32">
        <v>111</v>
      </c>
      <c r="S816" s="33">
        <v>0.33</v>
      </c>
      <c r="T816" s="34">
        <f t="shared" si="25"/>
        <v>165.67164179104481</v>
      </c>
      <c r="U816" s="34">
        <f t="shared" si="26"/>
        <v>167.74253731343285</v>
      </c>
      <c r="V816" t="s">
        <v>79</v>
      </c>
      <c r="W816" s="32">
        <v>15</v>
      </c>
      <c r="X816" s="32" t="s">
        <v>80</v>
      </c>
      <c r="AD816" s="1">
        <v>195018760302</v>
      </c>
      <c r="AN816">
        <v>30</v>
      </c>
      <c r="AO816" t="s">
        <v>81</v>
      </c>
    </row>
    <row r="817" spans="1:41" ht="105" x14ac:dyDescent="0.25">
      <c r="A817" s="2">
        <v>195018760166</v>
      </c>
      <c r="B817" t="s">
        <v>71</v>
      </c>
      <c r="C817" t="s">
        <v>72</v>
      </c>
      <c r="D817" t="s">
        <v>2478</v>
      </c>
      <c r="E817" t="s">
        <v>2479</v>
      </c>
      <c r="F817">
        <v>316210</v>
      </c>
      <c r="G817" s="35" t="s">
        <v>2149</v>
      </c>
      <c r="H817" s="31" t="s">
        <v>2480</v>
      </c>
      <c r="J817" t="s">
        <v>77</v>
      </c>
      <c r="M817">
        <v>220</v>
      </c>
      <c r="P817" t="s">
        <v>78</v>
      </c>
      <c r="Q817" s="55">
        <v>201.81818181818181</v>
      </c>
      <c r="R817" s="32">
        <v>111</v>
      </c>
      <c r="S817" s="33">
        <v>0.33</v>
      </c>
      <c r="T817" s="34">
        <f t="shared" si="25"/>
        <v>165.67164179104481</v>
      </c>
      <c r="U817" s="34">
        <f t="shared" si="26"/>
        <v>167.74253731343285</v>
      </c>
      <c r="V817" t="s">
        <v>79</v>
      </c>
      <c r="W817" s="32">
        <v>15</v>
      </c>
      <c r="X817" s="32" t="s">
        <v>80</v>
      </c>
      <c r="AD817" s="1">
        <v>195018760166</v>
      </c>
      <c r="AN817">
        <v>30</v>
      </c>
      <c r="AO817" t="s">
        <v>81</v>
      </c>
    </row>
    <row r="818" spans="1:41" ht="105" x14ac:dyDescent="0.25">
      <c r="A818" s="2">
        <v>195018760319</v>
      </c>
      <c r="B818" t="s">
        <v>71</v>
      </c>
      <c r="C818" t="s">
        <v>72</v>
      </c>
      <c r="D818" t="s">
        <v>2481</v>
      </c>
      <c r="E818" t="s">
        <v>2482</v>
      </c>
      <c r="F818">
        <v>316210</v>
      </c>
      <c r="G818" s="35" t="s">
        <v>2149</v>
      </c>
      <c r="H818" s="31" t="s">
        <v>2483</v>
      </c>
      <c r="J818" t="s">
        <v>77</v>
      </c>
      <c r="M818">
        <v>220</v>
      </c>
      <c r="P818" t="s">
        <v>78</v>
      </c>
      <c r="Q818" s="55">
        <v>201.81818181818181</v>
      </c>
      <c r="R818" s="32">
        <v>111</v>
      </c>
      <c r="S818" s="33">
        <v>0.33</v>
      </c>
      <c r="T818" s="34">
        <f t="shared" si="25"/>
        <v>165.67164179104481</v>
      </c>
      <c r="U818" s="34">
        <f t="shared" si="26"/>
        <v>167.74253731343285</v>
      </c>
      <c r="V818" t="s">
        <v>79</v>
      </c>
      <c r="W818" s="32">
        <v>15</v>
      </c>
      <c r="X818" s="32" t="s">
        <v>80</v>
      </c>
      <c r="AD818" s="1">
        <v>195018760319</v>
      </c>
      <c r="AN818">
        <v>30</v>
      </c>
      <c r="AO818" t="s">
        <v>81</v>
      </c>
    </row>
    <row r="819" spans="1:41" ht="105" x14ac:dyDescent="0.25">
      <c r="A819" s="2">
        <v>195018760173</v>
      </c>
      <c r="B819" t="s">
        <v>71</v>
      </c>
      <c r="C819" t="s">
        <v>72</v>
      </c>
      <c r="D819" t="s">
        <v>2484</v>
      </c>
      <c r="E819" t="s">
        <v>2485</v>
      </c>
      <c r="F819">
        <v>316210</v>
      </c>
      <c r="G819" s="35" t="s">
        <v>2149</v>
      </c>
      <c r="H819" s="31" t="s">
        <v>2486</v>
      </c>
      <c r="J819" t="s">
        <v>77</v>
      </c>
      <c r="M819">
        <v>220</v>
      </c>
      <c r="P819" t="s">
        <v>78</v>
      </c>
      <c r="Q819" s="55">
        <v>201.81818181818181</v>
      </c>
      <c r="R819" s="32">
        <v>111</v>
      </c>
      <c r="S819" s="33">
        <v>0.33</v>
      </c>
      <c r="T819" s="34">
        <f t="shared" si="25"/>
        <v>165.67164179104481</v>
      </c>
      <c r="U819" s="34">
        <f t="shared" si="26"/>
        <v>167.74253731343285</v>
      </c>
      <c r="V819" t="s">
        <v>79</v>
      </c>
      <c r="W819" s="32">
        <v>15</v>
      </c>
      <c r="X819" s="32" t="s">
        <v>80</v>
      </c>
      <c r="AD819" s="1">
        <v>195018760173</v>
      </c>
      <c r="AN819">
        <v>30</v>
      </c>
      <c r="AO819" t="s">
        <v>81</v>
      </c>
    </row>
    <row r="820" spans="1:41" ht="105" x14ac:dyDescent="0.25">
      <c r="A820" s="2">
        <v>195018760326</v>
      </c>
      <c r="B820" t="s">
        <v>71</v>
      </c>
      <c r="C820" t="s">
        <v>72</v>
      </c>
      <c r="D820" t="s">
        <v>2487</v>
      </c>
      <c r="E820" t="s">
        <v>2488</v>
      </c>
      <c r="F820">
        <v>316210</v>
      </c>
      <c r="G820" s="35" t="s">
        <v>2149</v>
      </c>
      <c r="H820" s="31" t="s">
        <v>2489</v>
      </c>
      <c r="J820" t="s">
        <v>77</v>
      </c>
      <c r="M820">
        <v>220</v>
      </c>
      <c r="P820" t="s">
        <v>78</v>
      </c>
      <c r="Q820" s="55">
        <v>201.81818181818181</v>
      </c>
      <c r="R820" s="32">
        <v>111</v>
      </c>
      <c r="S820" s="33">
        <v>0.33</v>
      </c>
      <c r="T820" s="34">
        <f t="shared" si="25"/>
        <v>165.67164179104481</v>
      </c>
      <c r="U820" s="34">
        <f t="shared" si="26"/>
        <v>167.74253731343285</v>
      </c>
      <c r="V820" t="s">
        <v>79</v>
      </c>
      <c r="W820" s="32">
        <v>15</v>
      </c>
      <c r="X820" s="32" t="s">
        <v>80</v>
      </c>
      <c r="AD820" s="1">
        <v>195018760326</v>
      </c>
      <c r="AN820">
        <v>30</v>
      </c>
      <c r="AO820" t="s">
        <v>81</v>
      </c>
    </row>
    <row r="821" spans="1:41" ht="105" x14ac:dyDescent="0.25">
      <c r="A821" s="2">
        <v>195018760180</v>
      </c>
      <c r="B821" t="s">
        <v>71</v>
      </c>
      <c r="C821" t="s">
        <v>72</v>
      </c>
      <c r="D821" t="s">
        <v>2490</v>
      </c>
      <c r="E821" t="s">
        <v>2491</v>
      </c>
      <c r="F821">
        <v>316210</v>
      </c>
      <c r="G821" s="35" t="s">
        <v>2149</v>
      </c>
      <c r="H821" s="31" t="s">
        <v>2492</v>
      </c>
      <c r="J821" t="s">
        <v>77</v>
      </c>
      <c r="M821">
        <v>220</v>
      </c>
      <c r="P821" t="s">
        <v>78</v>
      </c>
      <c r="Q821" s="55">
        <v>201.81818181818181</v>
      </c>
      <c r="R821" s="32">
        <v>111</v>
      </c>
      <c r="S821" s="33">
        <v>0.33</v>
      </c>
      <c r="T821" s="34">
        <f t="shared" si="25"/>
        <v>165.67164179104481</v>
      </c>
      <c r="U821" s="34">
        <f t="shared" si="26"/>
        <v>167.74253731343285</v>
      </c>
      <c r="V821" t="s">
        <v>79</v>
      </c>
      <c r="W821" s="32">
        <v>15</v>
      </c>
      <c r="X821" s="32" t="s">
        <v>80</v>
      </c>
      <c r="AD821" s="1">
        <v>195018760180</v>
      </c>
      <c r="AN821">
        <v>30</v>
      </c>
      <c r="AO821" t="s">
        <v>81</v>
      </c>
    </row>
    <row r="822" spans="1:41" ht="105" x14ac:dyDescent="0.25">
      <c r="A822" s="2">
        <v>195018760333</v>
      </c>
      <c r="B822" t="s">
        <v>71</v>
      </c>
      <c r="C822" t="s">
        <v>72</v>
      </c>
      <c r="D822" t="s">
        <v>2493</v>
      </c>
      <c r="E822" t="s">
        <v>2494</v>
      </c>
      <c r="F822">
        <v>316210</v>
      </c>
      <c r="G822" s="35" t="s">
        <v>2149</v>
      </c>
      <c r="H822" s="31" t="s">
        <v>2495</v>
      </c>
      <c r="J822" t="s">
        <v>77</v>
      </c>
      <c r="M822">
        <v>220</v>
      </c>
      <c r="P822" t="s">
        <v>78</v>
      </c>
      <c r="Q822" s="55">
        <v>201.81818181818181</v>
      </c>
      <c r="R822" s="32">
        <v>111</v>
      </c>
      <c r="S822" s="33">
        <v>0.33</v>
      </c>
      <c r="T822" s="34">
        <f t="shared" si="25"/>
        <v>165.67164179104481</v>
      </c>
      <c r="U822" s="34">
        <f t="shared" si="26"/>
        <v>167.74253731343285</v>
      </c>
      <c r="V822" t="s">
        <v>79</v>
      </c>
      <c r="W822" s="32">
        <v>15</v>
      </c>
      <c r="X822" s="32" t="s">
        <v>80</v>
      </c>
      <c r="AD822" s="1">
        <v>195018760333</v>
      </c>
      <c r="AN822">
        <v>30</v>
      </c>
      <c r="AO822" t="s">
        <v>81</v>
      </c>
    </row>
    <row r="823" spans="1:41" ht="105" x14ac:dyDescent="0.25">
      <c r="A823" s="2">
        <v>195018760197</v>
      </c>
      <c r="B823" t="s">
        <v>71</v>
      </c>
      <c r="C823" t="s">
        <v>72</v>
      </c>
      <c r="D823" t="s">
        <v>2496</v>
      </c>
      <c r="E823" t="s">
        <v>2497</v>
      </c>
      <c r="F823">
        <v>316210</v>
      </c>
      <c r="G823" s="35" t="s">
        <v>2149</v>
      </c>
      <c r="H823" s="31" t="s">
        <v>2498</v>
      </c>
      <c r="J823" t="s">
        <v>77</v>
      </c>
      <c r="M823">
        <v>220</v>
      </c>
      <c r="P823" t="s">
        <v>78</v>
      </c>
      <c r="Q823" s="55">
        <v>201.81818181818181</v>
      </c>
      <c r="R823" s="32">
        <v>111</v>
      </c>
      <c r="S823" s="33">
        <v>0.33</v>
      </c>
      <c r="T823" s="34">
        <f t="shared" si="25"/>
        <v>165.67164179104481</v>
      </c>
      <c r="U823" s="34">
        <f t="shared" si="26"/>
        <v>167.74253731343285</v>
      </c>
      <c r="V823" t="s">
        <v>79</v>
      </c>
      <c r="W823" s="32">
        <v>15</v>
      </c>
      <c r="X823" s="32" t="s">
        <v>80</v>
      </c>
      <c r="AD823" s="1">
        <v>195018760197</v>
      </c>
      <c r="AN823">
        <v>30</v>
      </c>
      <c r="AO823" t="s">
        <v>81</v>
      </c>
    </row>
    <row r="824" spans="1:41" ht="105" x14ac:dyDescent="0.25">
      <c r="A824" s="2">
        <v>195018760340</v>
      </c>
      <c r="B824" t="s">
        <v>71</v>
      </c>
      <c r="C824" t="s">
        <v>72</v>
      </c>
      <c r="D824" t="s">
        <v>2499</v>
      </c>
      <c r="E824" t="s">
        <v>2500</v>
      </c>
      <c r="F824">
        <v>316210</v>
      </c>
      <c r="G824" s="35" t="s">
        <v>2149</v>
      </c>
      <c r="H824" s="31" t="s">
        <v>2501</v>
      </c>
      <c r="J824" t="s">
        <v>77</v>
      </c>
      <c r="M824">
        <v>220</v>
      </c>
      <c r="P824" t="s">
        <v>78</v>
      </c>
      <c r="Q824" s="55">
        <v>201.81818181818181</v>
      </c>
      <c r="R824" s="32">
        <v>111</v>
      </c>
      <c r="S824" s="33">
        <v>0.33</v>
      </c>
      <c r="T824" s="34">
        <f t="shared" si="25"/>
        <v>165.67164179104481</v>
      </c>
      <c r="U824" s="34">
        <f t="shared" si="26"/>
        <v>167.74253731343285</v>
      </c>
      <c r="V824" t="s">
        <v>79</v>
      </c>
      <c r="W824" s="32">
        <v>15</v>
      </c>
      <c r="X824" s="32" t="s">
        <v>80</v>
      </c>
      <c r="AD824" s="1">
        <v>195018760340</v>
      </c>
      <c r="AN824">
        <v>30</v>
      </c>
      <c r="AO824" t="s">
        <v>81</v>
      </c>
    </row>
    <row r="825" spans="1:41" ht="105" x14ac:dyDescent="0.25">
      <c r="A825" s="2">
        <v>195018760203</v>
      </c>
      <c r="B825" t="s">
        <v>71</v>
      </c>
      <c r="C825" t="s">
        <v>72</v>
      </c>
      <c r="D825" t="s">
        <v>2502</v>
      </c>
      <c r="E825" t="s">
        <v>2503</v>
      </c>
      <c r="F825">
        <v>316210</v>
      </c>
      <c r="G825" s="35" t="s">
        <v>2149</v>
      </c>
      <c r="H825" s="31" t="s">
        <v>2504</v>
      </c>
      <c r="J825" t="s">
        <v>77</v>
      </c>
      <c r="M825">
        <v>220</v>
      </c>
      <c r="P825" t="s">
        <v>78</v>
      </c>
      <c r="Q825" s="55">
        <v>201.81818181818181</v>
      </c>
      <c r="R825" s="32">
        <v>111</v>
      </c>
      <c r="S825" s="33">
        <v>0.33</v>
      </c>
      <c r="T825" s="34">
        <f t="shared" si="25"/>
        <v>165.67164179104481</v>
      </c>
      <c r="U825" s="34">
        <f t="shared" si="26"/>
        <v>167.74253731343285</v>
      </c>
      <c r="V825" t="s">
        <v>79</v>
      </c>
      <c r="W825" s="32">
        <v>15</v>
      </c>
      <c r="X825" s="32" t="s">
        <v>80</v>
      </c>
      <c r="AD825" s="1">
        <v>195018760203</v>
      </c>
      <c r="AN825">
        <v>30</v>
      </c>
      <c r="AO825" t="s">
        <v>81</v>
      </c>
    </row>
    <row r="826" spans="1:41" ht="90" x14ac:dyDescent="0.25">
      <c r="A826" s="2">
        <v>195020815755</v>
      </c>
      <c r="B826" t="s">
        <v>71</v>
      </c>
      <c r="C826" t="s">
        <v>72</v>
      </c>
      <c r="D826" t="s">
        <v>2505</v>
      </c>
      <c r="E826" t="s">
        <v>2506</v>
      </c>
      <c r="F826">
        <v>316210</v>
      </c>
      <c r="G826" s="35" t="s">
        <v>2507</v>
      </c>
      <c r="H826" s="31" t="s">
        <v>2508</v>
      </c>
      <c r="J826" t="s">
        <v>77</v>
      </c>
      <c r="M826">
        <v>210</v>
      </c>
      <c r="P826" t="s">
        <v>78</v>
      </c>
      <c r="Q826" s="55">
        <v>194.54545454545453</v>
      </c>
      <c r="R826" s="32">
        <v>107</v>
      </c>
      <c r="S826" s="33">
        <v>0.33</v>
      </c>
      <c r="T826" s="34">
        <f t="shared" si="25"/>
        <v>159.70149253731344</v>
      </c>
      <c r="U826" s="34">
        <f t="shared" si="26"/>
        <v>161.69776119402985</v>
      </c>
      <c r="V826" t="s">
        <v>79</v>
      </c>
      <c r="W826" s="32">
        <v>15</v>
      </c>
      <c r="X826" s="32" t="s">
        <v>80</v>
      </c>
      <c r="AD826" s="1">
        <v>195020815755</v>
      </c>
      <c r="AN826">
        <v>30</v>
      </c>
      <c r="AO826" t="s">
        <v>81</v>
      </c>
    </row>
    <row r="827" spans="1:41" ht="90" x14ac:dyDescent="0.25">
      <c r="A827" s="2">
        <v>195020815694</v>
      </c>
      <c r="B827" t="s">
        <v>71</v>
      </c>
      <c r="C827" t="s">
        <v>72</v>
      </c>
      <c r="D827" t="s">
        <v>2509</v>
      </c>
      <c r="E827" t="s">
        <v>2510</v>
      </c>
      <c r="F827">
        <v>316210</v>
      </c>
      <c r="G827" s="35" t="s">
        <v>2507</v>
      </c>
      <c r="H827" s="31" t="s">
        <v>2511</v>
      </c>
      <c r="J827" t="s">
        <v>77</v>
      </c>
      <c r="M827">
        <v>210</v>
      </c>
      <c r="P827" t="s">
        <v>78</v>
      </c>
      <c r="Q827" s="55">
        <v>194.54545454545453</v>
      </c>
      <c r="R827" s="32">
        <v>107</v>
      </c>
      <c r="S827" s="33">
        <v>0.33</v>
      </c>
      <c r="T827" s="34">
        <f t="shared" si="25"/>
        <v>159.70149253731344</v>
      </c>
      <c r="U827" s="34">
        <f t="shared" si="26"/>
        <v>161.69776119402985</v>
      </c>
      <c r="V827" t="s">
        <v>79</v>
      </c>
      <c r="W827" s="32">
        <v>15</v>
      </c>
      <c r="X827" s="32" t="s">
        <v>80</v>
      </c>
      <c r="AD827" s="1">
        <v>195020815694</v>
      </c>
      <c r="AN827">
        <v>30</v>
      </c>
      <c r="AO827" t="s">
        <v>81</v>
      </c>
    </row>
    <row r="828" spans="1:41" ht="90" x14ac:dyDescent="0.25">
      <c r="A828" s="2">
        <v>195020815762</v>
      </c>
      <c r="B828" t="s">
        <v>71</v>
      </c>
      <c r="C828" t="s">
        <v>72</v>
      </c>
      <c r="D828" t="s">
        <v>2512</v>
      </c>
      <c r="E828" t="s">
        <v>2513</v>
      </c>
      <c r="F828">
        <v>316210</v>
      </c>
      <c r="G828" s="35" t="s">
        <v>2507</v>
      </c>
      <c r="H828" s="31" t="s">
        <v>2514</v>
      </c>
      <c r="J828" t="s">
        <v>77</v>
      </c>
      <c r="M828">
        <v>210</v>
      </c>
      <c r="P828" t="s">
        <v>78</v>
      </c>
      <c r="Q828" s="55">
        <v>194.54545454545453</v>
      </c>
      <c r="R828" s="32">
        <v>107</v>
      </c>
      <c r="S828" s="33">
        <v>0.33</v>
      </c>
      <c r="T828" s="34">
        <f t="shared" si="25"/>
        <v>159.70149253731344</v>
      </c>
      <c r="U828" s="34">
        <f t="shared" si="26"/>
        <v>161.69776119402985</v>
      </c>
      <c r="V828" t="s">
        <v>79</v>
      </c>
      <c r="W828" s="32">
        <v>15</v>
      </c>
      <c r="X828" s="32" t="s">
        <v>80</v>
      </c>
      <c r="AD828" s="1">
        <v>195020815762</v>
      </c>
      <c r="AN828">
        <v>30</v>
      </c>
      <c r="AO828" t="s">
        <v>81</v>
      </c>
    </row>
    <row r="829" spans="1:41" ht="90" x14ac:dyDescent="0.25">
      <c r="A829" s="2">
        <v>195020815700</v>
      </c>
      <c r="B829" t="s">
        <v>71</v>
      </c>
      <c r="C829" t="s">
        <v>72</v>
      </c>
      <c r="D829" t="s">
        <v>2515</v>
      </c>
      <c r="E829" t="s">
        <v>2516</v>
      </c>
      <c r="F829">
        <v>316210</v>
      </c>
      <c r="G829" s="35" t="s">
        <v>2507</v>
      </c>
      <c r="H829" s="31" t="s">
        <v>2517</v>
      </c>
      <c r="J829" t="s">
        <v>77</v>
      </c>
      <c r="M829">
        <v>210</v>
      </c>
      <c r="P829" t="s">
        <v>78</v>
      </c>
      <c r="Q829" s="55">
        <v>194.54545454545453</v>
      </c>
      <c r="R829" s="32">
        <v>107</v>
      </c>
      <c r="S829" s="33">
        <v>0.33</v>
      </c>
      <c r="T829" s="34">
        <f t="shared" si="25"/>
        <v>159.70149253731344</v>
      </c>
      <c r="U829" s="34">
        <f t="shared" si="26"/>
        <v>161.69776119402985</v>
      </c>
      <c r="V829" t="s">
        <v>79</v>
      </c>
      <c r="W829" s="32">
        <v>15</v>
      </c>
      <c r="X829" s="32" t="s">
        <v>80</v>
      </c>
      <c r="AD829" s="1">
        <v>195020815700</v>
      </c>
      <c r="AN829">
        <v>30</v>
      </c>
      <c r="AO829" t="s">
        <v>81</v>
      </c>
    </row>
    <row r="830" spans="1:41" ht="90" x14ac:dyDescent="0.25">
      <c r="A830" s="2">
        <v>195019257252</v>
      </c>
      <c r="B830" t="s">
        <v>71</v>
      </c>
      <c r="C830" t="s">
        <v>72</v>
      </c>
      <c r="D830" t="s">
        <v>2518</v>
      </c>
      <c r="E830" t="s">
        <v>2519</v>
      </c>
      <c r="F830">
        <v>316210</v>
      </c>
      <c r="G830" s="35" t="s">
        <v>2507</v>
      </c>
      <c r="H830" s="31" t="s">
        <v>2520</v>
      </c>
      <c r="J830" t="s">
        <v>77</v>
      </c>
      <c r="M830">
        <v>210</v>
      </c>
      <c r="P830" t="s">
        <v>78</v>
      </c>
      <c r="Q830" s="55">
        <v>194.54545454545453</v>
      </c>
      <c r="R830" s="32">
        <v>107</v>
      </c>
      <c r="S830" s="33">
        <v>0.33</v>
      </c>
      <c r="T830" s="34">
        <f t="shared" si="25"/>
        <v>159.70149253731344</v>
      </c>
      <c r="U830" s="34">
        <f t="shared" si="26"/>
        <v>161.69776119402985</v>
      </c>
      <c r="V830" t="s">
        <v>79</v>
      </c>
      <c r="W830" s="32">
        <v>15</v>
      </c>
      <c r="X830" s="32" t="s">
        <v>80</v>
      </c>
      <c r="AD830" s="1">
        <v>195019257252</v>
      </c>
      <c r="AN830">
        <v>30</v>
      </c>
      <c r="AO830" t="s">
        <v>81</v>
      </c>
    </row>
    <row r="831" spans="1:41" ht="90" x14ac:dyDescent="0.25">
      <c r="A831" s="2">
        <v>195020815717</v>
      </c>
      <c r="B831" t="s">
        <v>71</v>
      </c>
      <c r="C831" t="s">
        <v>72</v>
      </c>
      <c r="D831" t="s">
        <v>2521</v>
      </c>
      <c r="E831" t="s">
        <v>2522</v>
      </c>
      <c r="F831">
        <v>316210</v>
      </c>
      <c r="G831" s="35" t="s">
        <v>2507</v>
      </c>
      <c r="H831" s="31" t="s">
        <v>2523</v>
      </c>
      <c r="J831" t="s">
        <v>77</v>
      </c>
      <c r="M831">
        <v>210</v>
      </c>
      <c r="P831" t="s">
        <v>78</v>
      </c>
      <c r="Q831" s="55">
        <v>194.54545454545453</v>
      </c>
      <c r="R831" s="32">
        <v>107</v>
      </c>
      <c r="S831" s="33">
        <v>0.33</v>
      </c>
      <c r="T831" s="34">
        <f t="shared" si="25"/>
        <v>159.70149253731344</v>
      </c>
      <c r="U831" s="34">
        <f t="shared" si="26"/>
        <v>161.69776119402985</v>
      </c>
      <c r="V831" t="s">
        <v>79</v>
      </c>
      <c r="W831" s="32">
        <v>15</v>
      </c>
      <c r="X831" s="32" t="s">
        <v>80</v>
      </c>
      <c r="AD831" s="1">
        <v>195020815717</v>
      </c>
      <c r="AN831">
        <v>30</v>
      </c>
      <c r="AO831" t="s">
        <v>81</v>
      </c>
    </row>
    <row r="832" spans="1:41" ht="90" x14ac:dyDescent="0.25">
      <c r="A832" s="2">
        <v>195019257269</v>
      </c>
      <c r="B832" t="s">
        <v>71</v>
      </c>
      <c r="C832" t="s">
        <v>72</v>
      </c>
      <c r="D832" t="s">
        <v>2524</v>
      </c>
      <c r="E832" t="s">
        <v>2525</v>
      </c>
      <c r="F832">
        <v>316210</v>
      </c>
      <c r="G832" s="35" t="s">
        <v>2507</v>
      </c>
      <c r="H832" s="31" t="s">
        <v>2526</v>
      </c>
      <c r="J832" t="s">
        <v>77</v>
      </c>
      <c r="M832">
        <v>210</v>
      </c>
      <c r="P832" t="s">
        <v>78</v>
      </c>
      <c r="Q832" s="55">
        <v>194.54545454545453</v>
      </c>
      <c r="R832" s="32">
        <v>107</v>
      </c>
      <c r="S832" s="33">
        <v>0.33</v>
      </c>
      <c r="T832" s="34">
        <f t="shared" si="25"/>
        <v>159.70149253731344</v>
      </c>
      <c r="U832" s="34">
        <f t="shared" si="26"/>
        <v>161.69776119402985</v>
      </c>
      <c r="V832" t="s">
        <v>79</v>
      </c>
      <c r="W832" s="32">
        <v>15</v>
      </c>
      <c r="X832" s="32" t="s">
        <v>80</v>
      </c>
      <c r="AD832" s="1">
        <v>195019257269</v>
      </c>
      <c r="AN832">
        <v>30</v>
      </c>
      <c r="AO832" t="s">
        <v>81</v>
      </c>
    </row>
    <row r="833" spans="1:41" ht="90" x14ac:dyDescent="0.25">
      <c r="A833" s="2">
        <v>195020815724</v>
      </c>
      <c r="B833" t="s">
        <v>71</v>
      </c>
      <c r="C833" t="s">
        <v>72</v>
      </c>
      <c r="D833" t="s">
        <v>2527</v>
      </c>
      <c r="E833" t="s">
        <v>2528</v>
      </c>
      <c r="F833">
        <v>316210</v>
      </c>
      <c r="G833" s="35" t="s">
        <v>2507</v>
      </c>
      <c r="H833" s="31" t="s">
        <v>2529</v>
      </c>
      <c r="J833" t="s">
        <v>77</v>
      </c>
      <c r="M833">
        <v>210</v>
      </c>
      <c r="P833" t="s">
        <v>78</v>
      </c>
      <c r="Q833" s="55">
        <v>194.54545454545453</v>
      </c>
      <c r="R833" s="32">
        <v>107</v>
      </c>
      <c r="S833" s="33">
        <v>0.33</v>
      </c>
      <c r="T833" s="34">
        <f t="shared" si="25"/>
        <v>159.70149253731344</v>
      </c>
      <c r="U833" s="34">
        <f t="shared" si="26"/>
        <v>161.69776119402985</v>
      </c>
      <c r="V833" t="s">
        <v>79</v>
      </c>
      <c r="W833" s="32">
        <v>15</v>
      </c>
      <c r="X833" s="32" t="s">
        <v>80</v>
      </c>
      <c r="AD833" s="1">
        <v>195020815724</v>
      </c>
      <c r="AN833">
        <v>30</v>
      </c>
      <c r="AO833" t="s">
        <v>81</v>
      </c>
    </row>
    <row r="834" spans="1:41" ht="90" x14ac:dyDescent="0.25">
      <c r="A834" s="2">
        <v>195019257276</v>
      </c>
      <c r="B834" t="s">
        <v>71</v>
      </c>
      <c r="C834" t="s">
        <v>72</v>
      </c>
      <c r="D834" t="s">
        <v>2530</v>
      </c>
      <c r="E834" t="s">
        <v>2531</v>
      </c>
      <c r="F834">
        <v>316210</v>
      </c>
      <c r="G834" s="35" t="s">
        <v>2507</v>
      </c>
      <c r="H834" s="31" t="s">
        <v>2532</v>
      </c>
      <c r="J834" t="s">
        <v>77</v>
      </c>
      <c r="M834">
        <v>210</v>
      </c>
      <c r="P834" t="s">
        <v>78</v>
      </c>
      <c r="Q834" s="55">
        <v>194.54545454545453</v>
      </c>
      <c r="R834" s="32">
        <v>107</v>
      </c>
      <c r="S834" s="33">
        <v>0.33</v>
      </c>
      <c r="T834" s="34">
        <f t="shared" si="25"/>
        <v>159.70149253731344</v>
      </c>
      <c r="U834" s="34">
        <f t="shared" si="26"/>
        <v>161.69776119402985</v>
      </c>
      <c r="V834" t="s">
        <v>79</v>
      </c>
      <c r="W834" s="32">
        <v>15</v>
      </c>
      <c r="X834" s="32" t="s">
        <v>80</v>
      </c>
      <c r="AD834" s="1">
        <v>195019257276</v>
      </c>
      <c r="AN834">
        <v>30</v>
      </c>
      <c r="AO834" t="s">
        <v>81</v>
      </c>
    </row>
    <row r="835" spans="1:41" ht="90" x14ac:dyDescent="0.25">
      <c r="A835" s="2">
        <v>195020815731</v>
      </c>
      <c r="B835" t="s">
        <v>71</v>
      </c>
      <c r="C835" t="s">
        <v>72</v>
      </c>
      <c r="D835" t="s">
        <v>2533</v>
      </c>
      <c r="E835" t="s">
        <v>2534</v>
      </c>
      <c r="F835">
        <v>316210</v>
      </c>
      <c r="G835" s="35" t="s">
        <v>2507</v>
      </c>
      <c r="H835" s="31" t="s">
        <v>2535</v>
      </c>
      <c r="J835" t="s">
        <v>77</v>
      </c>
      <c r="M835">
        <v>210</v>
      </c>
      <c r="P835" t="s">
        <v>78</v>
      </c>
      <c r="Q835" s="55">
        <v>194.54545454545453</v>
      </c>
      <c r="R835" s="32">
        <v>107</v>
      </c>
      <c r="S835" s="33">
        <v>0.33</v>
      </c>
      <c r="T835" s="34">
        <f t="shared" si="25"/>
        <v>159.70149253731344</v>
      </c>
      <c r="U835" s="34">
        <f t="shared" si="26"/>
        <v>161.69776119402985</v>
      </c>
      <c r="V835" t="s">
        <v>79</v>
      </c>
      <c r="W835" s="32">
        <v>15</v>
      </c>
      <c r="X835" s="32" t="s">
        <v>80</v>
      </c>
      <c r="AD835" s="1">
        <v>195020815731</v>
      </c>
      <c r="AN835">
        <v>30</v>
      </c>
      <c r="AO835" t="s">
        <v>81</v>
      </c>
    </row>
    <row r="836" spans="1:41" ht="90" x14ac:dyDescent="0.25">
      <c r="A836" s="2">
        <v>195019257283</v>
      </c>
      <c r="B836" t="s">
        <v>71</v>
      </c>
      <c r="C836" t="s">
        <v>72</v>
      </c>
      <c r="D836" t="s">
        <v>2536</v>
      </c>
      <c r="E836" t="s">
        <v>2537</v>
      </c>
      <c r="F836">
        <v>316210</v>
      </c>
      <c r="G836" s="35" t="s">
        <v>2507</v>
      </c>
      <c r="H836" s="31" t="s">
        <v>2538</v>
      </c>
      <c r="J836" t="s">
        <v>77</v>
      </c>
      <c r="M836">
        <v>210</v>
      </c>
      <c r="P836" t="s">
        <v>78</v>
      </c>
      <c r="Q836" s="55">
        <v>194.54545454545453</v>
      </c>
      <c r="R836" s="32">
        <v>107</v>
      </c>
      <c r="S836" s="33">
        <v>0.33</v>
      </c>
      <c r="T836" s="34">
        <f t="shared" ref="T836:T899" si="27">R836/(1-S836)</f>
        <v>159.70149253731344</v>
      </c>
      <c r="U836" s="34">
        <f t="shared" ref="U836:U899" si="28">T836*(1+1.25%)</f>
        <v>161.69776119402985</v>
      </c>
      <c r="V836" t="s">
        <v>79</v>
      </c>
      <c r="W836" s="32">
        <v>15</v>
      </c>
      <c r="X836" s="32" t="s">
        <v>80</v>
      </c>
      <c r="AD836" s="1">
        <v>195019257283</v>
      </c>
      <c r="AN836">
        <v>30</v>
      </c>
      <c r="AO836" t="s">
        <v>81</v>
      </c>
    </row>
    <row r="837" spans="1:41" ht="90" x14ac:dyDescent="0.25">
      <c r="A837" s="2">
        <v>195020815748</v>
      </c>
      <c r="B837" t="s">
        <v>71</v>
      </c>
      <c r="C837" t="s">
        <v>72</v>
      </c>
      <c r="D837" t="s">
        <v>2539</v>
      </c>
      <c r="E837" t="s">
        <v>2540</v>
      </c>
      <c r="F837">
        <v>316210</v>
      </c>
      <c r="G837" s="35" t="s">
        <v>2507</v>
      </c>
      <c r="H837" s="31" t="s">
        <v>2541</v>
      </c>
      <c r="J837" t="s">
        <v>77</v>
      </c>
      <c r="M837">
        <v>210</v>
      </c>
      <c r="P837" t="s">
        <v>78</v>
      </c>
      <c r="Q837" s="55">
        <v>194.54545454545453</v>
      </c>
      <c r="R837" s="32">
        <v>107</v>
      </c>
      <c r="S837" s="33">
        <v>0.33</v>
      </c>
      <c r="T837" s="34">
        <f t="shared" si="27"/>
        <v>159.70149253731344</v>
      </c>
      <c r="U837" s="34">
        <f t="shared" si="28"/>
        <v>161.69776119402985</v>
      </c>
      <c r="V837" t="s">
        <v>79</v>
      </c>
      <c r="W837" s="32">
        <v>15</v>
      </c>
      <c r="X837" s="32" t="s">
        <v>80</v>
      </c>
      <c r="AD837" s="1">
        <v>195020815748</v>
      </c>
      <c r="AN837">
        <v>30</v>
      </c>
      <c r="AO837" t="s">
        <v>81</v>
      </c>
    </row>
    <row r="838" spans="1:41" ht="90" x14ac:dyDescent="0.25">
      <c r="A838" s="2">
        <v>195018760494</v>
      </c>
      <c r="B838" t="s">
        <v>71</v>
      </c>
      <c r="C838" t="s">
        <v>72</v>
      </c>
      <c r="D838" t="s">
        <v>2542</v>
      </c>
      <c r="E838" t="s">
        <v>2543</v>
      </c>
      <c r="F838">
        <v>316210</v>
      </c>
      <c r="G838" s="35" t="s">
        <v>2507</v>
      </c>
      <c r="H838" s="31" t="s">
        <v>2544</v>
      </c>
      <c r="J838" t="s">
        <v>77</v>
      </c>
      <c r="M838">
        <v>210</v>
      </c>
      <c r="P838" t="s">
        <v>78</v>
      </c>
      <c r="Q838" s="55">
        <v>194.54545454545453</v>
      </c>
      <c r="R838" s="32">
        <v>107</v>
      </c>
      <c r="S838" s="33">
        <v>0.33</v>
      </c>
      <c r="T838" s="34">
        <f t="shared" si="27"/>
        <v>159.70149253731344</v>
      </c>
      <c r="U838" s="34">
        <f t="shared" si="28"/>
        <v>161.69776119402985</v>
      </c>
      <c r="V838" t="s">
        <v>79</v>
      </c>
      <c r="W838" s="32">
        <v>15</v>
      </c>
      <c r="X838" s="32" t="s">
        <v>80</v>
      </c>
      <c r="AD838" s="1">
        <v>195018760494</v>
      </c>
      <c r="AN838">
        <v>30</v>
      </c>
      <c r="AO838" t="s">
        <v>81</v>
      </c>
    </row>
    <row r="839" spans="1:41" ht="90" x14ac:dyDescent="0.25">
      <c r="A839" s="2">
        <v>195018760357</v>
      </c>
      <c r="B839" t="s">
        <v>71</v>
      </c>
      <c r="C839" t="s">
        <v>72</v>
      </c>
      <c r="D839" t="s">
        <v>2545</v>
      </c>
      <c r="E839" t="s">
        <v>2546</v>
      </c>
      <c r="F839">
        <v>316210</v>
      </c>
      <c r="G839" s="35" t="s">
        <v>2507</v>
      </c>
      <c r="H839" s="31" t="s">
        <v>2547</v>
      </c>
      <c r="J839" t="s">
        <v>77</v>
      </c>
      <c r="M839">
        <v>210</v>
      </c>
      <c r="P839" t="s">
        <v>78</v>
      </c>
      <c r="Q839" s="55">
        <v>194.54545454545453</v>
      </c>
      <c r="R839" s="32">
        <v>107</v>
      </c>
      <c r="S839" s="33">
        <v>0.33</v>
      </c>
      <c r="T839" s="34">
        <f t="shared" si="27"/>
        <v>159.70149253731344</v>
      </c>
      <c r="U839" s="34">
        <f t="shared" si="28"/>
        <v>161.69776119402985</v>
      </c>
      <c r="V839" t="s">
        <v>79</v>
      </c>
      <c r="W839" s="32">
        <v>15</v>
      </c>
      <c r="X839" s="32" t="s">
        <v>80</v>
      </c>
      <c r="AD839" s="1">
        <v>195018760357</v>
      </c>
      <c r="AN839">
        <v>30</v>
      </c>
      <c r="AO839" t="s">
        <v>81</v>
      </c>
    </row>
    <row r="840" spans="1:41" ht="90" x14ac:dyDescent="0.25">
      <c r="A840" s="2">
        <v>195018760500</v>
      </c>
      <c r="B840" t="s">
        <v>71</v>
      </c>
      <c r="C840" t="s">
        <v>72</v>
      </c>
      <c r="D840" t="s">
        <v>2548</v>
      </c>
      <c r="E840" t="s">
        <v>2549</v>
      </c>
      <c r="F840">
        <v>316210</v>
      </c>
      <c r="G840" s="35" t="s">
        <v>2507</v>
      </c>
      <c r="H840" s="31" t="s">
        <v>2550</v>
      </c>
      <c r="J840" t="s">
        <v>77</v>
      </c>
      <c r="M840">
        <v>210</v>
      </c>
      <c r="P840" t="s">
        <v>78</v>
      </c>
      <c r="Q840" s="55">
        <v>194.54545454545453</v>
      </c>
      <c r="R840" s="32">
        <v>107</v>
      </c>
      <c r="S840" s="33">
        <v>0.33</v>
      </c>
      <c r="T840" s="34">
        <f t="shared" si="27"/>
        <v>159.70149253731344</v>
      </c>
      <c r="U840" s="34">
        <f t="shared" si="28"/>
        <v>161.69776119402985</v>
      </c>
      <c r="V840" t="s">
        <v>79</v>
      </c>
      <c r="W840" s="32">
        <v>15</v>
      </c>
      <c r="X840" s="32" t="s">
        <v>80</v>
      </c>
      <c r="AD840" s="1">
        <v>195018760500</v>
      </c>
      <c r="AN840">
        <v>30</v>
      </c>
      <c r="AO840" t="s">
        <v>81</v>
      </c>
    </row>
    <row r="841" spans="1:41" ht="90" x14ac:dyDescent="0.25">
      <c r="A841" s="2">
        <v>195018760364</v>
      </c>
      <c r="B841" t="s">
        <v>71</v>
      </c>
      <c r="C841" t="s">
        <v>72</v>
      </c>
      <c r="D841" t="s">
        <v>2551</v>
      </c>
      <c r="E841" t="s">
        <v>2552</v>
      </c>
      <c r="F841">
        <v>316210</v>
      </c>
      <c r="G841" s="35" t="s">
        <v>2507</v>
      </c>
      <c r="H841" s="31" t="s">
        <v>2553</v>
      </c>
      <c r="J841" t="s">
        <v>77</v>
      </c>
      <c r="M841">
        <v>210</v>
      </c>
      <c r="P841" t="s">
        <v>78</v>
      </c>
      <c r="Q841" s="55">
        <v>194.54545454545453</v>
      </c>
      <c r="R841" s="32">
        <v>107</v>
      </c>
      <c r="S841" s="33">
        <v>0.33</v>
      </c>
      <c r="T841" s="34">
        <f t="shared" si="27"/>
        <v>159.70149253731344</v>
      </c>
      <c r="U841" s="34">
        <f t="shared" si="28"/>
        <v>161.69776119402985</v>
      </c>
      <c r="V841" t="s">
        <v>79</v>
      </c>
      <c r="W841" s="32">
        <v>15</v>
      </c>
      <c r="X841" s="32" t="s">
        <v>80</v>
      </c>
      <c r="AD841" s="1">
        <v>195018760364</v>
      </c>
      <c r="AN841">
        <v>30</v>
      </c>
      <c r="AO841" t="s">
        <v>81</v>
      </c>
    </row>
    <row r="842" spans="1:41" ht="90" x14ac:dyDescent="0.25">
      <c r="A842" s="2">
        <v>195018760517</v>
      </c>
      <c r="B842" t="s">
        <v>71</v>
      </c>
      <c r="C842" t="s">
        <v>72</v>
      </c>
      <c r="D842" t="s">
        <v>2554</v>
      </c>
      <c r="E842" t="s">
        <v>2555</v>
      </c>
      <c r="F842">
        <v>316210</v>
      </c>
      <c r="G842" s="35" t="s">
        <v>2507</v>
      </c>
      <c r="H842" s="31" t="s">
        <v>2556</v>
      </c>
      <c r="J842" t="s">
        <v>77</v>
      </c>
      <c r="M842">
        <v>210</v>
      </c>
      <c r="P842" t="s">
        <v>78</v>
      </c>
      <c r="Q842" s="55">
        <v>194.54545454545453</v>
      </c>
      <c r="R842" s="32">
        <v>107</v>
      </c>
      <c r="S842" s="33">
        <v>0.33</v>
      </c>
      <c r="T842" s="34">
        <f t="shared" si="27"/>
        <v>159.70149253731344</v>
      </c>
      <c r="U842" s="34">
        <f t="shared" si="28"/>
        <v>161.69776119402985</v>
      </c>
      <c r="V842" t="s">
        <v>79</v>
      </c>
      <c r="W842" s="32">
        <v>15</v>
      </c>
      <c r="X842" s="32" t="s">
        <v>80</v>
      </c>
      <c r="AD842" s="1">
        <v>195018760517</v>
      </c>
      <c r="AN842">
        <v>30</v>
      </c>
      <c r="AO842" t="s">
        <v>81</v>
      </c>
    </row>
    <row r="843" spans="1:41" ht="90" x14ac:dyDescent="0.25">
      <c r="A843" s="2">
        <v>195018760371</v>
      </c>
      <c r="B843" t="s">
        <v>71</v>
      </c>
      <c r="C843" t="s">
        <v>72</v>
      </c>
      <c r="D843" t="s">
        <v>2557</v>
      </c>
      <c r="E843" t="s">
        <v>2558</v>
      </c>
      <c r="F843">
        <v>316210</v>
      </c>
      <c r="G843" s="35" t="s">
        <v>2507</v>
      </c>
      <c r="H843" s="31" t="s">
        <v>2559</v>
      </c>
      <c r="J843" t="s">
        <v>77</v>
      </c>
      <c r="M843">
        <v>210</v>
      </c>
      <c r="P843" t="s">
        <v>78</v>
      </c>
      <c r="Q843" s="55">
        <v>194.54545454545453</v>
      </c>
      <c r="R843" s="32">
        <v>107</v>
      </c>
      <c r="S843" s="33">
        <v>0.33</v>
      </c>
      <c r="T843" s="34">
        <f t="shared" si="27"/>
        <v>159.70149253731344</v>
      </c>
      <c r="U843" s="34">
        <f t="shared" si="28"/>
        <v>161.69776119402985</v>
      </c>
      <c r="V843" t="s">
        <v>79</v>
      </c>
      <c r="W843" s="32">
        <v>15</v>
      </c>
      <c r="X843" s="32" t="s">
        <v>80</v>
      </c>
      <c r="AD843" s="1">
        <v>195018760371</v>
      </c>
      <c r="AN843">
        <v>30</v>
      </c>
      <c r="AO843" t="s">
        <v>81</v>
      </c>
    </row>
    <row r="844" spans="1:41" ht="90" x14ac:dyDescent="0.25">
      <c r="A844" s="2">
        <v>195018760524</v>
      </c>
      <c r="B844" t="s">
        <v>71</v>
      </c>
      <c r="C844" t="s">
        <v>72</v>
      </c>
      <c r="D844" t="s">
        <v>2560</v>
      </c>
      <c r="E844" t="s">
        <v>2561</v>
      </c>
      <c r="F844">
        <v>316210</v>
      </c>
      <c r="G844" s="35" t="s">
        <v>2507</v>
      </c>
      <c r="H844" s="31" t="s">
        <v>2562</v>
      </c>
      <c r="J844" t="s">
        <v>77</v>
      </c>
      <c r="M844">
        <v>210</v>
      </c>
      <c r="P844" t="s">
        <v>78</v>
      </c>
      <c r="Q844" s="55">
        <v>194.54545454545453</v>
      </c>
      <c r="R844" s="32">
        <v>107</v>
      </c>
      <c r="S844" s="33">
        <v>0.33</v>
      </c>
      <c r="T844" s="34">
        <f t="shared" si="27"/>
        <v>159.70149253731344</v>
      </c>
      <c r="U844" s="34">
        <f t="shared" si="28"/>
        <v>161.69776119402985</v>
      </c>
      <c r="V844" t="s">
        <v>79</v>
      </c>
      <c r="W844" s="32">
        <v>15</v>
      </c>
      <c r="X844" s="32" t="s">
        <v>80</v>
      </c>
      <c r="AD844" s="1">
        <v>195018760524</v>
      </c>
      <c r="AN844">
        <v>30</v>
      </c>
      <c r="AO844" t="s">
        <v>81</v>
      </c>
    </row>
    <row r="845" spans="1:41" ht="90" x14ac:dyDescent="0.25">
      <c r="A845" s="2">
        <v>195018760388</v>
      </c>
      <c r="B845" t="s">
        <v>71</v>
      </c>
      <c r="C845" t="s">
        <v>72</v>
      </c>
      <c r="D845" t="s">
        <v>2563</v>
      </c>
      <c r="E845" t="s">
        <v>2564</v>
      </c>
      <c r="F845">
        <v>316210</v>
      </c>
      <c r="G845" s="35" t="s">
        <v>2507</v>
      </c>
      <c r="H845" s="31" t="s">
        <v>2565</v>
      </c>
      <c r="J845" t="s">
        <v>77</v>
      </c>
      <c r="M845">
        <v>210</v>
      </c>
      <c r="P845" t="s">
        <v>78</v>
      </c>
      <c r="Q845" s="55">
        <v>194.54545454545453</v>
      </c>
      <c r="R845" s="32">
        <v>107</v>
      </c>
      <c r="S845" s="33">
        <v>0.33</v>
      </c>
      <c r="T845" s="34">
        <f t="shared" si="27"/>
        <v>159.70149253731344</v>
      </c>
      <c r="U845" s="34">
        <f t="shared" si="28"/>
        <v>161.69776119402985</v>
      </c>
      <c r="V845" t="s">
        <v>79</v>
      </c>
      <c r="W845" s="32">
        <v>15</v>
      </c>
      <c r="X845" s="32" t="s">
        <v>80</v>
      </c>
      <c r="AD845" s="1">
        <v>195018760388</v>
      </c>
      <c r="AN845">
        <v>30</v>
      </c>
      <c r="AO845" t="s">
        <v>81</v>
      </c>
    </row>
    <row r="846" spans="1:41" ht="90" x14ac:dyDescent="0.25">
      <c r="A846" s="2">
        <v>195018760531</v>
      </c>
      <c r="B846" t="s">
        <v>71</v>
      </c>
      <c r="C846" t="s">
        <v>72</v>
      </c>
      <c r="D846" t="s">
        <v>2566</v>
      </c>
      <c r="E846" t="s">
        <v>2567</v>
      </c>
      <c r="F846">
        <v>316210</v>
      </c>
      <c r="G846" s="35" t="s">
        <v>2507</v>
      </c>
      <c r="H846" s="31" t="s">
        <v>2568</v>
      </c>
      <c r="J846" t="s">
        <v>77</v>
      </c>
      <c r="M846">
        <v>210</v>
      </c>
      <c r="P846" t="s">
        <v>78</v>
      </c>
      <c r="Q846" s="55">
        <v>194.54545454545453</v>
      </c>
      <c r="R846" s="32">
        <v>107</v>
      </c>
      <c r="S846" s="33">
        <v>0.33</v>
      </c>
      <c r="T846" s="34">
        <f t="shared" si="27"/>
        <v>159.70149253731344</v>
      </c>
      <c r="U846" s="34">
        <f t="shared" si="28"/>
        <v>161.69776119402985</v>
      </c>
      <c r="V846" t="s">
        <v>79</v>
      </c>
      <c r="W846" s="32">
        <v>15</v>
      </c>
      <c r="X846" s="32" t="s">
        <v>80</v>
      </c>
      <c r="AD846" s="1">
        <v>195018760531</v>
      </c>
      <c r="AN846">
        <v>30</v>
      </c>
      <c r="AO846" t="s">
        <v>81</v>
      </c>
    </row>
    <row r="847" spans="1:41" ht="90" x14ac:dyDescent="0.25">
      <c r="A847" s="2">
        <v>195018760395</v>
      </c>
      <c r="B847" t="s">
        <v>71</v>
      </c>
      <c r="C847" t="s">
        <v>72</v>
      </c>
      <c r="D847" t="s">
        <v>2569</v>
      </c>
      <c r="E847" t="s">
        <v>2570</v>
      </c>
      <c r="F847">
        <v>316210</v>
      </c>
      <c r="G847" s="35" t="s">
        <v>2507</v>
      </c>
      <c r="H847" s="31" t="s">
        <v>2571</v>
      </c>
      <c r="J847" t="s">
        <v>77</v>
      </c>
      <c r="M847">
        <v>210</v>
      </c>
      <c r="P847" t="s">
        <v>78</v>
      </c>
      <c r="Q847" s="55">
        <v>194.54545454545453</v>
      </c>
      <c r="R847" s="32">
        <v>107</v>
      </c>
      <c r="S847" s="33">
        <v>0.33</v>
      </c>
      <c r="T847" s="34">
        <f t="shared" si="27"/>
        <v>159.70149253731344</v>
      </c>
      <c r="U847" s="34">
        <f t="shared" si="28"/>
        <v>161.69776119402985</v>
      </c>
      <c r="V847" t="s">
        <v>79</v>
      </c>
      <c r="W847" s="32">
        <v>15</v>
      </c>
      <c r="X847" s="32" t="s">
        <v>80</v>
      </c>
      <c r="AD847" s="1">
        <v>195018760395</v>
      </c>
      <c r="AN847">
        <v>30</v>
      </c>
      <c r="AO847" t="s">
        <v>81</v>
      </c>
    </row>
    <row r="848" spans="1:41" ht="90" x14ac:dyDescent="0.25">
      <c r="A848" s="2">
        <v>195018760548</v>
      </c>
      <c r="B848" t="s">
        <v>71</v>
      </c>
      <c r="C848" t="s">
        <v>72</v>
      </c>
      <c r="D848" t="s">
        <v>2572</v>
      </c>
      <c r="E848" t="s">
        <v>2573</v>
      </c>
      <c r="F848">
        <v>316210</v>
      </c>
      <c r="G848" s="35" t="s">
        <v>2507</v>
      </c>
      <c r="H848" s="31" t="s">
        <v>2574</v>
      </c>
      <c r="J848" t="s">
        <v>77</v>
      </c>
      <c r="M848">
        <v>210</v>
      </c>
      <c r="P848" t="s">
        <v>78</v>
      </c>
      <c r="Q848" s="55">
        <v>194.54545454545453</v>
      </c>
      <c r="R848" s="32">
        <v>107</v>
      </c>
      <c r="S848" s="33">
        <v>0.33</v>
      </c>
      <c r="T848" s="34">
        <f t="shared" si="27"/>
        <v>159.70149253731344</v>
      </c>
      <c r="U848" s="34">
        <f t="shared" si="28"/>
        <v>161.69776119402985</v>
      </c>
      <c r="V848" t="s">
        <v>79</v>
      </c>
      <c r="W848" s="32">
        <v>15</v>
      </c>
      <c r="X848" s="32" t="s">
        <v>80</v>
      </c>
      <c r="AD848" s="1">
        <v>195018760548</v>
      </c>
      <c r="AN848">
        <v>30</v>
      </c>
      <c r="AO848" t="s">
        <v>81</v>
      </c>
    </row>
    <row r="849" spans="1:41" ht="90" x14ac:dyDescent="0.25">
      <c r="A849" s="2">
        <v>195018760401</v>
      </c>
      <c r="B849" t="s">
        <v>71</v>
      </c>
      <c r="C849" t="s">
        <v>72</v>
      </c>
      <c r="D849" t="s">
        <v>2575</v>
      </c>
      <c r="E849" t="s">
        <v>2576</v>
      </c>
      <c r="F849">
        <v>316210</v>
      </c>
      <c r="G849" s="35" t="s">
        <v>2507</v>
      </c>
      <c r="H849" s="31" t="s">
        <v>2577</v>
      </c>
      <c r="J849" t="s">
        <v>77</v>
      </c>
      <c r="M849">
        <v>210</v>
      </c>
      <c r="P849" t="s">
        <v>78</v>
      </c>
      <c r="Q849" s="55">
        <v>194.54545454545453</v>
      </c>
      <c r="R849" s="32">
        <v>107</v>
      </c>
      <c r="S849" s="33">
        <v>0.33</v>
      </c>
      <c r="T849" s="34">
        <f t="shared" si="27"/>
        <v>159.70149253731344</v>
      </c>
      <c r="U849" s="34">
        <f t="shared" si="28"/>
        <v>161.69776119402985</v>
      </c>
      <c r="V849" t="s">
        <v>79</v>
      </c>
      <c r="W849" s="32">
        <v>15</v>
      </c>
      <c r="X849" s="32" t="s">
        <v>80</v>
      </c>
      <c r="AD849" s="1">
        <v>195018760401</v>
      </c>
      <c r="AN849">
        <v>30</v>
      </c>
      <c r="AO849" t="s">
        <v>81</v>
      </c>
    </row>
    <row r="850" spans="1:41" ht="90" x14ac:dyDescent="0.25">
      <c r="A850" s="2">
        <v>195018760555</v>
      </c>
      <c r="B850" t="s">
        <v>71</v>
      </c>
      <c r="C850" t="s">
        <v>72</v>
      </c>
      <c r="D850" t="s">
        <v>2578</v>
      </c>
      <c r="E850" t="s">
        <v>2579</v>
      </c>
      <c r="F850">
        <v>316210</v>
      </c>
      <c r="G850" s="35" t="s">
        <v>2507</v>
      </c>
      <c r="H850" s="31" t="s">
        <v>2580</v>
      </c>
      <c r="J850" t="s">
        <v>77</v>
      </c>
      <c r="M850">
        <v>210</v>
      </c>
      <c r="P850" t="s">
        <v>78</v>
      </c>
      <c r="Q850" s="55">
        <v>194.54545454545453</v>
      </c>
      <c r="R850" s="32">
        <v>107</v>
      </c>
      <c r="S850" s="33">
        <v>0.33</v>
      </c>
      <c r="T850" s="34">
        <f t="shared" si="27"/>
        <v>159.70149253731344</v>
      </c>
      <c r="U850" s="34">
        <f t="shared" si="28"/>
        <v>161.69776119402985</v>
      </c>
      <c r="V850" t="s">
        <v>79</v>
      </c>
      <c r="W850" s="32">
        <v>15</v>
      </c>
      <c r="X850" s="32" t="s">
        <v>80</v>
      </c>
      <c r="AD850" s="1">
        <v>195018760555</v>
      </c>
      <c r="AN850">
        <v>30</v>
      </c>
      <c r="AO850" t="s">
        <v>81</v>
      </c>
    </row>
    <row r="851" spans="1:41" ht="90" x14ac:dyDescent="0.25">
      <c r="A851" s="2">
        <v>195018760418</v>
      </c>
      <c r="B851" t="s">
        <v>71</v>
      </c>
      <c r="C851" t="s">
        <v>72</v>
      </c>
      <c r="D851" t="s">
        <v>2581</v>
      </c>
      <c r="E851" t="s">
        <v>2582</v>
      </c>
      <c r="F851">
        <v>316210</v>
      </c>
      <c r="G851" s="35" t="s">
        <v>2507</v>
      </c>
      <c r="H851" s="31" t="s">
        <v>2583</v>
      </c>
      <c r="J851" t="s">
        <v>77</v>
      </c>
      <c r="M851">
        <v>210</v>
      </c>
      <c r="P851" t="s">
        <v>78</v>
      </c>
      <c r="Q851" s="55">
        <v>194.54545454545453</v>
      </c>
      <c r="R851" s="32">
        <v>107</v>
      </c>
      <c r="S851" s="33">
        <v>0.33</v>
      </c>
      <c r="T851" s="34">
        <f t="shared" si="27"/>
        <v>159.70149253731344</v>
      </c>
      <c r="U851" s="34">
        <f t="shared" si="28"/>
        <v>161.69776119402985</v>
      </c>
      <c r="V851" t="s">
        <v>79</v>
      </c>
      <c r="W851" s="32">
        <v>15</v>
      </c>
      <c r="X851" s="32" t="s">
        <v>80</v>
      </c>
      <c r="AD851" s="1">
        <v>195018760418</v>
      </c>
      <c r="AN851">
        <v>30</v>
      </c>
      <c r="AO851" t="s">
        <v>81</v>
      </c>
    </row>
    <row r="852" spans="1:41" ht="90" x14ac:dyDescent="0.25">
      <c r="A852" s="2">
        <v>195018760562</v>
      </c>
      <c r="B852" t="s">
        <v>71</v>
      </c>
      <c r="C852" t="s">
        <v>72</v>
      </c>
      <c r="D852" t="s">
        <v>2584</v>
      </c>
      <c r="E852" t="s">
        <v>2585</v>
      </c>
      <c r="F852">
        <v>316210</v>
      </c>
      <c r="G852" s="35" t="s">
        <v>2507</v>
      </c>
      <c r="H852" s="31" t="s">
        <v>2586</v>
      </c>
      <c r="J852" t="s">
        <v>77</v>
      </c>
      <c r="M852">
        <v>210</v>
      </c>
      <c r="P852" t="s">
        <v>78</v>
      </c>
      <c r="Q852" s="55">
        <v>194.54545454545453</v>
      </c>
      <c r="R852" s="32">
        <v>107</v>
      </c>
      <c r="S852" s="33">
        <v>0.33</v>
      </c>
      <c r="T852" s="34">
        <f t="shared" si="27"/>
        <v>159.70149253731344</v>
      </c>
      <c r="U852" s="34">
        <f t="shared" si="28"/>
        <v>161.69776119402985</v>
      </c>
      <c r="V852" t="s">
        <v>79</v>
      </c>
      <c r="W852" s="32">
        <v>15</v>
      </c>
      <c r="X852" s="32" t="s">
        <v>80</v>
      </c>
      <c r="AD852" s="1">
        <v>195018760562</v>
      </c>
      <c r="AN852">
        <v>30</v>
      </c>
      <c r="AO852" t="s">
        <v>81</v>
      </c>
    </row>
    <row r="853" spans="1:41" ht="90" x14ac:dyDescent="0.25">
      <c r="A853" s="2">
        <v>195018760425</v>
      </c>
      <c r="B853" t="s">
        <v>71</v>
      </c>
      <c r="C853" t="s">
        <v>72</v>
      </c>
      <c r="D853" t="s">
        <v>2587</v>
      </c>
      <c r="E853" t="s">
        <v>2588</v>
      </c>
      <c r="F853">
        <v>316210</v>
      </c>
      <c r="G853" s="35" t="s">
        <v>2507</v>
      </c>
      <c r="H853" s="31" t="s">
        <v>2589</v>
      </c>
      <c r="J853" t="s">
        <v>77</v>
      </c>
      <c r="M853">
        <v>210</v>
      </c>
      <c r="P853" t="s">
        <v>78</v>
      </c>
      <c r="Q853" s="55">
        <v>194.54545454545453</v>
      </c>
      <c r="R853" s="32">
        <v>107</v>
      </c>
      <c r="S853" s="33">
        <v>0.33</v>
      </c>
      <c r="T853" s="34">
        <f t="shared" si="27"/>
        <v>159.70149253731344</v>
      </c>
      <c r="U853" s="34">
        <f t="shared" si="28"/>
        <v>161.69776119402985</v>
      </c>
      <c r="V853" t="s">
        <v>79</v>
      </c>
      <c r="W853" s="32">
        <v>15</v>
      </c>
      <c r="X853" s="32" t="s">
        <v>80</v>
      </c>
      <c r="AD853" s="1">
        <v>195018760425</v>
      </c>
      <c r="AN853">
        <v>30</v>
      </c>
      <c r="AO853" t="s">
        <v>81</v>
      </c>
    </row>
    <row r="854" spans="1:41" ht="90" x14ac:dyDescent="0.25">
      <c r="A854" s="2">
        <v>195018760579</v>
      </c>
      <c r="B854" t="s">
        <v>71</v>
      </c>
      <c r="C854" t="s">
        <v>72</v>
      </c>
      <c r="D854" t="s">
        <v>2590</v>
      </c>
      <c r="E854" t="s">
        <v>2591</v>
      </c>
      <c r="F854">
        <v>316210</v>
      </c>
      <c r="G854" s="35" t="s">
        <v>2507</v>
      </c>
      <c r="H854" s="31" t="s">
        <v>2592</v>
      </c>
      <c r="J854" t="s">
        <v>77</v>
      </c>
      <c r="M854">
        <v>210</v>
      </c>
      <c r="P854" t="s">
        <v>78</v>
      </c>
      <c r="Q854" s="55">
        <v>194.54545454545453</v>
      </c>
      <c r="R854" s="32">
        <v>107</v>
      </c>
      <c r="S854" s="33">
        <v>0.33</v>
      </c>
      <c r="T854" s="34">
        <f t="shared" si="27"/>
        <v>159.70149253731344</v>
      </c>
      <c r="U854" s="34">
        <f t="shared" si="28"/>
        <v>161.69776119402985</v>
      </c>
      <c r="V854" t="s">
        <v>79</v>
      </c>
      <c r="W854" s="32">
        <v>15</v>
      </c>
      <c r="X854" s="32" t="s">
        <v>80</v>
      </c>
      <c r="AD854" s="1">
        <v>195018760579</v>
      </c>
      <c r="AN854">
        <v>30</v>
      </c>
      <c r="AO854" t="s">
        <v>81</v>
      </c>
    </row>
    <row r="855" spans="1:41" ht="90" x14ac:dyDescent="0.25">
      <c r="A855" s="2">
        <v>195018760432</v>
      </c>
      <c r="B855" t="s">
        <v>71</v>
      </c>
      <c r="C855" t="s">
        <v>72</v>
      </c>
      <c r="D855" t="s">
        <v>2593</v>
      </c>
      <c r="E855" t="s">
        <v>2594</v>
      </c>
      <c r="F855">
        <v>316210</v>
      </c>
      <c r="G855" s="35" t="s">
        <v>2507</v>
      </c>
      <c r="H855" s="31" t="s">
        <v>2595</v>
      </c>
      <c r="J855" t="s">
        <v>77</v>
      </c>
      <c r="M855">
        <v>210</v>
      </c>
      <c r="P855" t="s">
        <v>78</v>
      </c>
      <c r="Q855" s="55">
        <v>194.54545454545453</v>
      </c>
      <c r="R855" s="32">
        <v>107</v>
      </c>
      <c r="S855" s="33">
        <v>0.33</v>
      </c>
      <c r="T855" s="34">
        <f t="shared" si="27"/>
        <v>159.70149253731344</v>
      </c>
      <c r="U855" s="34">
        <f t="shared" si="28"/>
        <v>161.69776119402985</v>
      </c>
      <c r="V855" t="s">
        <v>79</v>
      </c>
      <c r="W855" s="32">
        <v>15</v>
      </c>
      <c r="X855" s="32" t="s">
        <v>80</v>
      </c>
      <c r="AD855" s="1">
        <v>195018760432</v>
      </c>
      <c r="AN855">
        <v>30</v>
      </c>
      <c r="AO855" t="s">
        <v>81</v>
      </c>
    </row>
    <row r="856" spans="1:41" ht="90" x14ac:dyDescent="0.25">
      <c r="A856" s="2">
        <v>195018760586</v>
      </c>
      <c r="B856" t="s">
        <v>71</v>
      </c>
      <c r="C856" t="s">
        <v>72</v>
      </c>
      <c r="D856" t="s">
        <v>2596</v>
      </c>
      <c r="E856" t="s">
        <v>2597</v>
      </c>
      <c r="F856">
        <v>316210</v>
      </c>
      <c r="G856" s="35" t="s">
        <v>2507</v>
      </c>
      <c r="H856" s="31" t="s">
        <v>2598</v>
      </c>
      <c r="J856" t="s">
        <v>77</v>
      </c>
      <c r="M856">
        <v>210</v>
      </c>
      <c r="P856" t="s">
        <v>78</v>
      </c>
      <c r="Q856" s="55">
        <v>194.54545454545453</v>
      </c>
      <c r="R856" s="32">
        <v>107</v>
      </c>
      <c r="S856" s="33">
        <v>0.33</v>
      </c>
      <c r="T856" s="34">
        <f t="shared" si="27"/>
        <v>159.70149253731344</v>
      </c>
      <c r="U856" s="34">
        <f t="shared" si="28"/>
        <v>161.69776119402985</v>
      </c>
      <c r="V856" t="s">
        <v>79</v>
      </c>
      <c r="W856" s="32">
        <v>15</v>
      </c>
      <c r="X856" s="32" t="s">
        <v>80</v>
      </c>
      <c r="AD856" s="1">
        <v>195018760586</v>
      </c>
      <c r="AN856">
        <v>30</v>
      </c>
      <c r="AO856" t="s">
        <v>81</v>
      </c>
    </row>
    <row r="857" spans="1:41" ht="90" x14ac:dyDescent="0.25">
      <c r="A857" s="2">
        <v>195018760449</v>
      </c>
      <c r="B857" t="s">
        <v>71</v>
      </c>
      <c r="C857" t="s">
        <v>72</v>
      </c>
      <c r="D857" t="s">
        <v>2599</v>
      </c>
      <c r="E857" t="s">
        <v>2600</v>
      </c>
      <c r="F857">
        <v>316210</v>
      </c>
      <c r="G857" s="35" t="s">
        <v>2507</v>
      </c>
      <c r="H857" s="31" t="s">
        <v>2601</v>
      </c>
      <c r="J857" t="s">
        <v>77</v>
      </c>
      <c r="M857">
        <v>210</v>
      </c>
      <c r="P857" t="s">
        <v>78</v>
      </c>
      <c r="Q857" s="55">
        <v>194.54545454545453</v>
      </c>
      <c r="R857" s="32">
        <v>107</v>
      </c>
      <c r="S857" s="33">
        <v>0.33</v>
      </c>
      <c r="T857" s="34">
        <f t="shared" si="27"/>
        <v>159.70149253731344</v>
      </c>
      <c r="U857" s="34">
        <f t="shared" si="28"/>
        <v>161.69776119402985</v>
      </c>
      <c r="V857" t="s">
        <v>79</v>
      </c>
      <c r="W857" s="32">
        <v>15</v>
      </c>
      <c r="X857" s="32" t="s">
        <v>80</v>
      </c>
      <c r="AD857" s="1">
        <v>195018760449</v>
      </c>
      <c r="AN857">
        <v>30</v>
      </c>
      <c r="AO857" t="s">
        <v>81</v>
      </c>
    </row>
    <row r="858" spans="1:41" ht="90" x14ac:dyDescent="0.25">
      <c r="A858" s="2">
        <v>195018760593</v>
      </c>
      <c r="B858" t="s">
        <v>71</v>
      </c>
      <c r="C858" t="s">
        <v>72</v>
      </c>
      <c r="D858" t="s">
        <v>2602</v>
      </c>
      <c r="E858" t="s">
        <v>2603</v>
      </c>
      <c r="F858">
        <v>316210</v>
      </c>
      <c r="G858" s="35" t="s">
        <v>2507</v>
      </c>
      <c r="H858" s="31" t="s">
        <v>2604</v>
      </c>
      <c r="J858" t="s">
        <v>77</v>
      </c>
      <c r="M858">
        <v>210</v>
      </c>
      <c r="P858" t="s">
        <v>78</v>
      </c>
      <c r="Q858" s="55">
        <v>194.54545454545453</v>
      </c>
      <c r="R858" s="32">
        <v>107</v>
      </c>
      <c r="S858" s="33">
        <v>0.33</v>
      </c>
      <c r="T858" s="34">
        <f t="shared" si="27"/>
        <v>159.70149253731344</v>
      </c>
      <c r="U858" s="34">
        <f t="shared" si="28"/>
        <v>161.69776119402985</v>
      </c>
      <c r="V858" t="s">
        <v>79</v>
      </c>
      <c r="W858" s="32">
        <v>15</v>
      </c>
      <c r="X858" s="32" t="s">
        <v>80</v>
      </c>
      <c r="AD858" s="1">
        <v>195018760593</v>
      </c>
      <c r="AN858">
        <v>30</v>
      </c>
      <c r="AO858" t="s">
        <v>81</v>
      </c>
    </row>
    <row r="859" spans="1:41" ht="90" x14ac:dyDescent="0.25">
      <c r="A859" s="2">
        <v>195018760456</v>
      </c>
      <c r="B859" t="s">
        <v>71</v>
      </c>
      <c r="C859" t="s">
        <v>72</v>
      </c>
      <c r="D859" t="s">
        <v>2605</v>
      </c>
      <c r="E859" t="s">
        <v>2606</v>
      </c>
      <c r="F859">
        <v>316210</v>
      </c>
      <c r="G859" s="35" t="s">
        <v>2507</v>
      </c>
      <c r="H859" s="31" t="s">
        <v>2607</v>
      </c>
      <c r="J859" t="s">
        <v>77</v>
      </c>
      <c r="M859">
        <v>210</v>
      </c>
      <c r="P859" t="s">
        <v>78</v>
      </c>
      <c r="Q859" s="55">
        <v>194.54545454545453</v>
      </c>
      <c r="R859" s="32">
        <v>107</v>
      </c>
      <c r="S859" s="33">
        <v>0.33</v>
      </c>
      <c r="T859" s="34">
        <f t="shared" si="27"/>
        <v>159.70149253731344</v>
      </c>
      <c r="U859" s="34">
        <f t="shared" si="28"/>
        <v>161.69776119402985</v>
      </c>
      <c r="V859" t="s">
        <v>79</v>
      </c>
      <c r="W859" s="32">
        <v>15</v>
      </c>
      <c r="X859" s="32" t="s">
        <v>80</v>
      </c>
      <c r="AD859" s="1">
        <v>195018760456</v>
      </c>
      <c r="AN859">
        <v>30</v>
      </c>
      <c r="AO859" t="s">
        <v>81</v>
      </c>
    </row>
    <row r="860" spans="1:41" ht="90" x14ac:dyDescent="0.25">
      <c r="A860" s="2">
        <v>195018760609</v>
      </c>
      <c r="B860" t="s">
        <v>71</v>
      </c>
      <c r="C860" t="s">
        <v>72</v>
      </c>
      <c r="D860" t="s">
        <v>2608</v>
      </c>
      <c r="E860" t="s">
        <v>2609</v>
      </c>
      <c r="F860">
        <v>316210</v>
      </c>
      <c r="G860" s="35" t="s">
        <v>2507</v>
      </c>
      <c r="H860" s="31" t="s">
        <v>2610</v>
      </c>
      <c r="J860" t="s">
        <v>77</v>
      </c>
      <c r="M860">
        <v>210</v>
      </c>
      <c r="P860" t="s">
        <v>78</v>
      </c>
      <c r="Q860" s="55">
        <v>194.54545454545453</v>
      </c>
      <c r="R860" s="32">
        <v>107</v>
      </c>
      <c r="S860" s="33">
        <v>0.33</v>
      </c>
      <c r="T860" s="34">
        <f t="shared" si="27"/>
        <v>159.70149253731344</v>
      </c>
      <c r="U860" s="34">
        <f t="shared" si="28"/>
        <v>161.69776119402985</v>
      </c>
      <c r="V860" t="s">
        <v>79</v>
      </c>
      <c r="W860" s="32">
        <v>15</v>
      </c>
      <c r="X860" s="32" t="s">
        <v>80</v>
      </c>
      <c r="AD860" s="1">
        <v>195018760609</v>
      </c>
      <c r="AN860">
        <v>30</v>
      </c>
      <c r="AO860" t="s">
        <v>81</v>
      </c>
    </row>
    <row r="861" spans="1:41" ht="90" x14ac:dyDescent="0.25">
      <c r="A861" s="2">
        <v>195018760463</v>
      </c>
      <c r="B861" t="s">
        <v>71</v>
      </c>
      <c r="C861" t="s">
        <v>72</v>
      </c>
      <c r="D861" t="s">
        <v>2611</v>
      </c>
      <c r="E861" t="s">
        <v>2612</v>
      </c>
      <c r="F861">
        <v>316210</v>
      </c>
      <c r="G861" s="35" t="s">
        <v>2507</v>
      </c>
      <c r="H861" s="31" t="s">
        <v>2613</v>
      </c>
      <c r="J861" t="s">
        <v>77</v>
      </c>
      <c r="M861">
        <v>210</v>
      </c>
      <c r="P861" t="s">
        <v>78</v>
      </c>
      <c r="Q861" s="55">
        <v>194.54545454545453</v>
      </c>
      <c r="R861" s="32">
        <v>107</v>
      </c>
      <c r="S861" s="33">
        <v>0.33</v>
      </c>
      <c r="T861" s="34">
        <f t="shared" si="27"/>
        <v>159.70149253731344</v>
      </c>
      <c r="U861" s="34">
        <f t="shared" si="28"/>
        <v>161.69776119402985</v>
      </c>
      <c r="V861" t="s">
        <v>79</v>
      </c>
      <c r="W861" s="32">
        <v>15</v>
      </c>
      <c r="X861" s="32" t="s">
        <v>80</v>
      </c>
      <c r="AD861" s="1">
        <v>195018760463</v>
      </c>
      <c r="AN861">
        <v>30</v>
      </c>
      <c r="AO861" t="s">
        <v>81</v>
      </c>
    </row>
    <row r="862" spans="1:41" ht="90" x14ac:dyDescent="0.25">
      <c r="A862" s="2">
        <v>195018760616</v>
      </c>
      <c r="B862" t="s">
        <v>71</v>
      </c>
      <c r="C862" t="s">
        <v>72</v>
      </c>
      <c r="D862" t="s">
        <v>2614</v>
      </c>
      <c r="E862" t="s">
        <v>2615</v>
      </c>
      <c r="F862">
        <v>316210</v>
      </c>
      <c r="G862" s="35" t="s">
        <v>2507</v>
      </c>
      <c r="H862" s="31" t="s">
        <v>2616</v>
      </c>
      <c r="J862" t="s">
        <v>77</v>
      </c>
      <c r="M862">
        <v>210</v>
      </c>
      <c r="P862" t="s">
        <v>78</v>
      </c>
      <c r="Q862" s="55">
        <v>194.54545454545453</v>
      </c>
      <c r="R862" s="32">
        <v>107</v>
      </c>
      <c r="S862" s="33">
        <v>0.33</v>
      </c>
      <c r="T862" s="34">
        <f t="shared" si="27"/>
        <v>159.70149253731344</v>
      </c>
      <c r="U862" s="34">
        <f t="shared" si="28"/>
        <v>161.69776119402985</v>
      </c>
      <c r="V862" t="s">
        <v>79</v>
      </c>
      <c r="W862" s="32">
        <v>15</v>
      </c>
      <c r="X862" s="32" t="s">
        <v>80</v>
      </c>
      <c r="AD862" s="1">
        <v>195018760616</v>
      </c>
      <c r="AN862">
        <v>30</v>
      </c>
      <c r="AO862" t="s">
        <v>81</v>
      </c>
    </row>
    <row r="863" spans="1:41" ht="90" x14ac:dyDescent="0.25">
      <c r="A863" s="2">
        <v>195018760470</v>
      </c>
      <c r="B863" t="s">
        <v>71</v>
      </c>
      <c r="C863" t="s">
        <v>72</v>
      </c>
      <c r="D863" t="s">
        <v>2617</v>
      </c>
      <c r="E863" t="s">
        <v>2618</v>
      </c>
      <c r="F863">
        <v>316210</v>
      </c>
      <c r="G863" s="35" t="s">
        <v>2507</v>
      </c>
      <c r="H863" s="31" t="s">
        <v>2619</v>
      </c>
      <c r="J863" t="s">
        <v>77</v>
      </c>
      <c r="M863">
        <v>210</v>
      </c>
      <c r="P863" t="s">
        <v>78</v>
      </c>
      <c r="Q863" s="55">
        <v>194.54545454545453</v>
      </c>
      <c r="R863" s="32">
        <v>107</v>
      </c>
      <c r="S863" s="33">
        <v>0.33</v>
      </c>
      <c r="T863" s="34">
        <f t="shared" si="27"/>
        <v>159.70149253731344</v>
      </c>
      <c r="U863" s="34">
        <f t="shared" si="28"/>
        <v>161.69776119402985</v>
      </c>
      <c r="V863" t="s">
        <v>79</v>
      </c>
      <c r="W863" s="32">
        <v>15</v>
      </c>
      <c r="X863" s="32" t="s">
        <v>80</v>
      </c>
      <c r="AD863" s="1">
        <v>195018760470</v>
      </c>
      <c r="AN863">
        <v>30</v>
      </c>
      <c r="AO863" t="s">
        <v>81</v>
      </c>
    </row>
    <row r="864" spans="1:41" ht="90" x14ac:dyDescent="0.25">
      <c r="A864" s="2">
        <v>195018760623</v>
      </c>
      <c r="B864" t="s">
        <v>71</v>
      </c>
      <c r="C864" t="s">
        <v>72</v>
      </c>
      <c r="D864" t="s">
        <v>2620</v>
      </c>
      <c r="E864" t="s">
        <v>2621</v>
      </c>
      <c r="F864">
        <v>316210</v>
      </c>
      <c r="G864" s="35" t="s">
        <v>2507</v>
      </c>
      <c r="H864" s="31" t="s">
        <v>2622</v>
      </c>
      <c r="J864" t="s">
        <v>77</v>
      </c>
      <c r="M864">
        <v>210</v>
      </c>
      <c r="P864" t="s">
        <v>78</v>
      </c>
      <c r="Q864" s="55">
        <v>194.54545454545453</v>
      </c>
      <c r="R864" s="32">
        <v>107</v>
      </c>
      <c r="S864" s="33">
        <v>0.33</v>
      </c>
      <c r="T864" s="34">
        <f t="shared" si="27"/>
        <v>159.70149253731344</v>
      </c>
      <c r="U864" s="34">
        <f t="shared" si="28"/>
        <v>161.69776119402985</v>
      </c>
      <c r="V864" t="s">
        <v>79</v>
      </c>
      <c r="W864" s="32">
        <v>15</v>
      </c>
      <c r="X864" s="32" t="s">
        <v>80</v>
      </c>
      <c r="AD864" s="1">
        <v>195018760623</v>
      </c>
      <c r="AN864">
        <v>30</v>
      </c>
      <c r="AO864" t="s">
        <v>81</v>
      </c>
    </row>
    <row r="865" spans="1:41" ht="90" x14ac:dyDescent="0.25">
      <c r="A865" s="2">
        <v>195018760487</v>
      </c>
      <c r="B865" t="s">
        <v>71</v>
      </c>
      <c r="C865" t="s">
        <v>72</v>
      </c>
      <c r="D865" t="s">
        <v>2623</v>
      </c>
      <c r="E865" t="s">
        <v>2624</v>
      </c>
      <c r="F865">
        <v>316210</v>
      </c>
      <c r="G865" s="35" t="s">
        <v>2507</v>
      </c>
      <c r="H865" s="31" t="s">
        <v>2625</v>
      </c>
      <c r="J865" t="s">
        <v>77</v>
      </c>
      <c r="M865">
        <v>210</v>
      </c>
      <c r="P865" t="s">
        <v>78</v>
      </c>
      <c r="Q865" s="55">
        <v>194.54545454545453</v>
      </c>
      <c r="R865" s="32">
        <v>107</v>
      </c>
      <c r="S865" s="33">
        <v>0.33</v>
      </c>
      <c r="T865" s="34">
        <f t="shared" si="27"/>
        <v>159.70149253731344</v>
      </c>
      <c r="U865" s="34">
        <f t="shared" si="28"/>
        <v>161.69776119402985</v>
      </c>
      <c r="V865" t="s">
        <v>79</v>
      </c>
      <c r="W865" s="32">
        <v>15</v>
      </c>
      <c r="X865" s="32" t="s">
        <v>80</v>
      </c>
      <c r="AD865" s="1">
        <v>195018760487</v>
      </c>
      <c r="AN865">
        <v>30</v>
      </c>
      <c r="AO865" t="s">
        <v>81</v>
      </c>
    </row>
    <row r="866" spans="1:41" ht="120" x14ac:dyDescent="0.25">
      <c r="A866" s="2">
        <v>195018761996</v>
      </c>
      <c r="B866" t="s">
        <v>71</v>
      </c>
      <c r="C866" t="s">
        <v>72</v>
      </c>
      <c r="D866" t="s">
        <v>2626</v>
      </c>
      <c r="E866" t="s">
        <v>2627</v>
      </c>
      <c r="F866">
        <v>316210</v>
      </c>
      <c r="G866" s="35" t="s">
        <v>2628</v>
      </c>
      <c r="H866" s="31" t="s">
        <v>2629</v>
      </c>
      <c r="J866" t="s">
        <v>77</v>
      </c>
      <c r="M866">
        <v>180</v>
      </c>
      <c r="P866" t="s">
        <v>78</v>
      </c>
      <c r="Q866" s="55">
        <v>165.45454545454544</v>
      </c>
      <c r="R866" s="32">
        <v>91</v>
      </c>
      <c r="S866" s="33">
        <v>0.33</v>
      </c>
      <c r="T866" s="34">
        <f t="shared" si="27"/>
        <v>135.82089552238807</v>
      </c>
      <c r="U866" s="34">
        <f t="shared" si="28"/>
        <v>137.51865671641792</v>
      </c>
      <c r="V866" t="s">
        <v>79</v>
      </c>
      <c r="W866" s="32">
        <v>15</v>
      </c>
      <c r="X866" s="32" t="s">
        <v>80</v>
      </c>
      <c r="AD866" s="1">
        <v>195018761996</v>
      </c>
      <c r="AN866">
        <v>30</v>
      </c>
      <c r="AO866" t="s">
        <v>81</v>
      </c>
    </row>
    <row r="867" spans="1:41" ht="120" x14ac:dyDescent="0.25">
      <c r="A867" s="2">
        <v>195018762009</v>
      </c>
      <c r="B867" t="s">
        <v>71</v>
      </c>
      <c r="C867" t="s">
        <v>72</v>
      </c>
      <c r="D867" t="s">
        <v>2630</v>
      </c>
      <c r="E867" t="s">
        <v>2631</v>
      </c>
      <c r="F867">
        <v>316210</v>
      </c>
      <c r="G867" s="35" t="s">
        <v>2628</v>
      </c>
      <c r="H867" s="31" t="s">
        <v>2632</v>
      </c>
      <c r="J867" t="s">
        <v>77</v>
      </c>
      <c r="M867">
        <v>180</v>
      </c>
      <c r="P867" t="s">
        <v>78</v>
      </c>
      <c r="Q867" s="55">
        <v>165.45454545454544</v>
      </c>
      <c r="R867" s="32">
        <v>91</v>
      </c>
      <c r="S867" s="33">
        <v>0.33</v>
      </c>
      <c r="T867" s="34">
        <f t="shared" si="27"/>
        <v>135.82089552238807</v>
      </c>
      <c r="U867" s="34">
        <f t="shared" si="28"/>
        <v>137.51865671641792</v>
      </c>
      <c r="V867" t="s">
        <v>79</v>
      </c>
      <c r="W867" s="32">
        <v>15</v>
      </c>
      <c r="X867" s="32" t="s">
        <v>80</v>
      </c>
      <c r="AD867" s="1">
        <v>195018762009</v>
      </c>
      <c r="AN867">
        <v>30</v>
      </c>
      <c r="AO867" t="s">
        <v>81</v>
      </c>
    </row>
    <row r="868" spans="1:41" ht="120" x14ac:dyDescent="0.25">
      <c r="A868" s="2">
        <v>195018762016</v>
      </c>
      <c r="B868" t="s">
        <v>71</v>
      </c>
      <c r="C868" t="s">
        <v>72</v>
      </c>
      <c r="D868" t="s">
        <v>2633</v>
      </c>
      <c r="E868" t="s">
        <v>2634</v>
      </c>
      <c r="F868">
        <v>316210</v>
      </c>
      <c r="G868" s="35" t="s">
        <v>2628</v>
      </c>
      <c r="H868" s="31" t="s">
        <v>2635</v>
      </c>
      <c r="J868" t="s">
        <v>77</v>
      </c>
      <c r="M868">
        <v>180</v>
      </c>
      <c r="P868" t="s">
        <v>78</v>
      </c>
      <c r="Q868" s="55">
        <v>165.45454545454544</v>
      </c>
      <c r="R868" s="32">
        <v>91</v>
      </c>
      <c r="S868" s="33">
        <v>0.33</v>
      </c>
      <c r="T868" s="34">
        <f t="shared" si="27"/>
        <v>135.82089552238807</v>
      </c>
      <c r="U868" s="34">
        <f t="shared" si="28"/>
        <v>137.51865671641792</v>
      </c>
      <c r="V868" t="s">
        <v>79</v>
      </c>
      <c r="W868" s="32">
        <v>15</v>
      </c>
      <c r="X868" s="32" t="s">
        <v>80</v>
      </c>
      <c r="AD868" s="1">
        <v>195018762016</v>
      </c>
      <c r="AN868">
        <v>30</v>
      </c>
      <c r="AO868" t="s">
        <v>81</v>
      </c>
    </row>
    <row r="869" spans="1:41" ht="120" x14ac:dyDescent="0.25">
      <c r="A869" s="2">
        <v>195018762023</v>
      </c>
      <c r="B869" t="s">
        <v>71</v>
      </c>
      <c r="C869" t="s">
        <v>72</v>
      </c>
      <c r="D869" t="s">
        <v>2636</v>
      </c>
      <c r="E869" t="s">
        <v>2637</v>
      </c>
      <c r="F869">
        <v>316210</v>
      </c>
      <c r="G869" s="35" t="s">
        <v>2628</v>
      </c>
      <c r="H869" s="31" t="s">
        <v>2638</v>
      </c>
      <c r="J869" t="s">
        <v>77</v>
      </c>
      <c r="M869">
        <v>180</v>
      </c>
      <c r="P869" t="s">
        <v>78</v>
      </c>
      <c r="Q869" s="55">
        <v>165.45454545454544</v>
      </c>
      <c r="R869" s="32">
        <v>91</v>
      </c>
      <c r="S869" s="33">
        <v>0.33</v>
      </c>
      <c r="T869" s="34">
        <f t="shared" si="27"/>
        <v>135.82089552238807</v>
      </c>
      <c r="U869" s="34">
        <f t="shared" si="28"/>
        <v>137.51865671641792</v>
      </c>
      <c r="V869" t="s">
        <v>79</v>
      </c>
      <c r="W869" s="32">
        <v>15</v>
      </c>
      <c r="X869" s="32" t="s">
        <v>80</v>
      </c>
      <c r="AD869" s="1">
        <v>195018762023</v>
      </c>
      <c r="AN869">
        <v>30</v>
      </c>
      <c r="AO869" t="s">
        <v>81</v>
      </c>
    </row>
    <row r="870" spans="1:41" ht="120" x14ac:dyDescent="0.25">
      <c r="A870" s="2">
        <v>195018762030</v>
      </c>
      <c r="B870" t="s">
        <v>71</v>
      </c>
      <c r="C870" t="s">
        <v>72</v>
      </c>
      <c r="D870" t="s">
        <v>2639</v>
      </c>
      <c r="E870" t="s">
        <v>2640</v>
      </c>
      <c r="F870">
        <v>316210</v>
      </c>
      <c r="G870" s="35" t="s">
        <v>2628</v>
      </c>
      <c r="H870" s="31" t="s">
        <v>2641</v>
      </c>
      <c r="J870" t="s">
        <v>77</v>
      </c>
      <c r="M870">
        <v>180</v>
      </c>
      <c r="P870" t="s">
        <v>78</v>
      </c>
      <c r="Q870" s="55">
        <v>165.45454545454544</v>
      </c>
      <c r="R870" s="32">
        <v>91</v>
      </c>
      <c r="S870" s="33">
        <v>0.33</v>
      </c>
      <c r="T870" s="34">
        <f t="shared" si="27"/>
        <v>135.82089552238807</v>
      </c>
      <c r="U870" s="34">
        <f t="shared" si="28"/>
        <v>137.51865671641792</v>
      </c>
      <c r="V870" t="s">
        <v>79</v>
      </c>
      <c r="W870" s="32">
        <v>15</v>
      </c>
      <c r="X870" s="32" t="s">
        <v>80</v>
      </c>
      <c r="AD870" s="1">
        <v>195018762030</v>
      </c>
      <c r="AN870">
        <v>30</v>
      </c>
      <c r="AO870" t="s">
        <v>81</v>
      </c>
    </row>
    <row r="871" spans="1:41" ht="120" x14ac:dyDescent="0.25">
      <c r="A871" s="2">
        <v>195018762047</v>
      </c>
      <c r="B871" t="s">
        <v>71</v>
      </c>
      <c r="C871" t="s">
        <v>72</v>
      </c>
      <c r="D871" t="s">
        <v>2642</v>
      </c>
      <c r="E871" t="s">
        <v>2643</v>
      </c>
      <c r="F871">
        <v>316210</v>
      </c>
      <c r="G871" s="35" t="s">
        <v>2628</v>
      </c>
      <c r="H871" s="31" t="s">
        <v>2644</v>
      </c>
      <c r="J871" t="s">
        <v>77</v>
      </c>
      <c r="M871">
        <v>180</v>
      </c>
      <c r="P871" t="s">
        <v>78</v>
      </c>
      <c r="Q871" s="55">
        <v>165.45454545454544</v>
      </c>
      <c r="R871" s="32">
        <v>91</v>
      </c>
      <c r="S871" s="33">
        <v>0.33</v>
      </c>
      <c r="T871" s="34">
        <f t="shared" si="27"/>
        <v>135.82089552238807</v>
      </c>
      <c r="U871" s="34">
        <f t="shared" si="28"/>
        <v>137.51865671641792</v>
      </c>
      <c r="V871" t="s">
        <v>79</v>
      </c>
      <c r="W871" s="32">
        <v>15</v>
      </c>
      <c r="X871" s="32" t="s">
        <v>80</v>
      </c>
      <c r="AD871" s="1">
        <v>195018762047</v>
      </c>
      <c r="AN871">
        <v>30</v>
      </c>
      <c r="AO871" t="s">
        <v>81</v>
      </c>
    </row>
    <row r="872" spans="1:41" ht="120" x14ac:dyDescent="0.25">
      <c r="A872" s="2">
        <v>195018762054</v>
      </c>
      <c r="B872" t="s">
        <v>71</v>
      </c>
      <c r="C872" t="s">
        <v>72</v>
      </c>
      <c r="D872" t="s">
        <v>2645</v>
      </c>
      <c r="E872" t="s">
        <v>2646</v>
      </c>
      <c r="F872">
        <v>316210</v>
      </c>
      <c r="G872" s="35" t="s">
        <v>2628</v>
      </c>
      <c r="H872" s="31" t="s">
        <v>2647</v>
      </c>
      <c r="J872" t="s">
        <v>77</v>
      </c>
      <c r="M872">
        <v>180</v>
      </c>
      <c r="P872" t="s">
        <v>78</v>
      </c>
      <c r="Q872" s="55">
        <v>165.45454545454544</v>
      </c>
      <c r="R872" s="32">
        <v>91</v>
      </c>
      <c r="S872" s="33">
        <v>0.33</v>
      </c>
      <c r="T872" s="34">
        <f t="shared" si="27"/>
        <v>135.82089552238807</v>
      </c>
      <c r="U872" s="34">
        <f t="shared" si="28"/>
        <v>137.51865671641792</v>
      </c>
      <c r="V872" t="s">
        <v>79</v>
      </c>
      <c r="W872" s="32">
        <v>15</v>
      </c>
      <c r="X872" s="32" t="s">
        <v>80</v>
      </c>
      <c r="AD872" s="1">
        <v>195018762054</v>
      </c>
      <c r="AN872">
        <v>30</v>
      </c>
      <c r="AO872" t="s">
        <v>81</v>
      </c>
    </row>
    <row r="873" spans="1:41" ht="120" x14ac:dyDescent="0.25">
      <c r="A873" s="2">
        <v>195018762061</v>
      </c>
      <c r="B873" t="s">
        <v>71</v>
      </c>
      <c r="C873" t="s">
        <v>72</v>
      </c>
      <c r="D873" t="s">
        <v>2648</v>
      </c>
      <c r="E873" t="s">
        <v>2649</v>
      </c>
      <c r="F873">
        <v>316210</v>
      </c>
      <c r="G873" s="35" t="s">
        <v>2628</v>
      </c>
      <c r="H873" s="31" t="s">
        <v>2650</v>
      </c>
      <c r="J873" t="s">
        <v>77</v>
      </c>
      <c r="M873">
        <v>180</v>
      </c>
      <c r="P873" t="s">
        <v>78</v>
      </c>
      <c r="Q873" s="55">
        <v>165.45454545454544</v>
      </c>
      <c r="R873" s="32">
        <v>91</v>
      </c>
      <c r="S873" s="33">
        <v>0.33</v>
      </c>
      <c r="T873" s="34">
        <f t="shared" si="27"/>
        <v>135.82089552238807</v>
      </c>
      <c r="U873" s="34">
        <f t="shared" si="28"/>
        <v>137.51865671641792</v>
      </c>
      <c r="V873" t="s">
        <v>79</v>
      </c>
      <c r="W873" s="32">
        <v>15</v>
      </c>
      <c r="X873" s="32" t="s">
        <v>80</v>
      </c>
      <c r="AD873" s="1">
        <v>195018762061</v>
      </c>
      <c r="AN873">
        <v>30</v>
      </c>
      <c r="AO873" t="s">
        <v>81</v>
      </c>
    </row>
    <row r="874" spans="1:41" ht="120" x14ac:dyDescent="0.25">
      <c r="A874" s="2">
        <v>195018762078</v>
      </c>
      <c r="B874" t="s">
        <v>71</v>
      </c>
      <c r="C874" t="s">
        <v>72</v>
      </c>
      <c r="D874" t="s">
        <v>2651</v>
      </c>
      <c r="E874" t="s">
        <v>2652</v>
      </c>
      <c r="F874">
        <v>316210</v>
      </c>
      <c r="G874" s="35" t="s">
        <v>2628</v>
      </c>
      <c r="H874" s="31" t="s">
        <v>2653</v>
      </c>
      <c r="J874" t="s">
        <v>77</v>
      </c>
      <c r="M874">
        <v>180</v>
      </c>
      <c r="P874" t="s">
        <v>78</v>
      </c>
      <c r="Q874" s="55">
        <v>165.45454545454544</v>
      </c>
      <c r="R874" s="32">
        <v>91</v>
      </c>
      <c r="S874" s="33">
        <v>0.33</v>
      </c>
      <c r="T874" s="34">
        <f t="shared" si="27"/>
        <v>135.82089552238807</v>
      </c>
      <c r="U874" s="34">
        <f t="shared" si="28"/>
        <v>137.51865671641792</v>
      </c>
      <c r="V874" t="s">
        <v>79</v>
      </c>
      <c r="W874" s="32">
        <v>15</v>
      </c>
      <c r="X874" s="32" t="s">
        <v>80</v>
      </c>
      <c r="AD874" s="1">
        <v>195018762078</v>
      </c>
      <c r="AN874">
        <v>30</v>
      </c>
      <c r="AO874" t="s">
        <v>81</v>
      </c>
    </row>
    <row r="875" spans="1:41" ht="120" x14ac:dyDescent="0.25">
      <c r="A875" s="2">
        <v>195018762085</v>
      </c>
      <c r="B875" t="s">
        <v>71</v>
      </c>
      <c r="C875" t="s">
        <v>72</v>
      </c>
      <c r="D875" t="s">
        <v>2654</v>
      </c>
      <c r="E875" t="s">
        <v>2655</v>
      </c>
      <c r="F875">
        <v>316210</v>
      </c>
      <c r="G875" s="35" t="s">
        <v>2628</v>
      </c>
      <c r="H875" s="31" t="s">
        <v>2656</v>
      </c>
      <c r="J875" t="s">
        <v>77</v>
      </c>
      <c r="M875">
        <v>180</v>
      </c>
      <c r="P875" t="s">
        <v>78</v>
      </c>
      <c r="Q875" s="55">
        <v>165.45454545454544</v>
      </c>
      <c r="R875" s="32">
        <v>91</v>
      </c>
      <c r="S875" s="33">
        <v>0.33</v>
      </c>
      <c r="T875" s="34">
        <f t="shared" si="27"/>
        <v>135.82089552238807</v>
      </c>
      <c r="U875" s="34">
        <f t="shared" si="28"/>
        <v>137.51865671641792</v>
      </c>
      <c r="V875" t="s">
        <v>79</v>
      </c>
      <c r="W875" s="32">
        <v>15</v>
      </c>
      <c r="X875" s="32" t="s">
        <v>80</v>
      </c>
      <c r="AD875" s="1">
        <v>195018762085</v>
      </c>
      <c r="AN875">
        <v>30</v>
      </c>
      <c r="AO875" t="s">
        <v>81</v>
      </c>
    </row>
    <row r="876" spans="1:41" ht="120" x14ac:dyDescent="0.25">
      <c r="A876" s="2">
        <v>195018762092</v>
      </c>
      <c r="B876" t="s">
        <v>71</v>
      </c>
      <c r="C876" t="s">
        <v>72</v>
      </c>
      <c r="D876" t="s">
        <v>2657</v>
      </c>
      <c r="E876" t="s">
        <v>2658</v>
      </c>
      <c r="F876">
        <v>316210</v>
      </c>
      <c r="G876" s="35" t="s">
        <v>2628</v>
      </c>
      <c r="H876" s="31" t="s">
        <v>2659</v>
      </c>
      <c r="J876" t="s">
        <v>77</v>
      </c>
      <c r="M876">
        <v>180</v>
      </c>
      <c r="P876" t="s">
        <v>78</v>
      </c>
      <c r="Q876" s="55">
        <v>165.45454545454544</v>
      </c>
      <c r="R876" s="32">
        <v>91</v>
      </c>
      <c r="S876" s="33">
        <v>0.33</v>
      </c>
      <c r="T876" s="34">
        <f t="shared" si="27"/>
        <v>135.82089552238807</v>
      </c>
      <c r="U876" s="34">
        <f t="shared" si="28"/>
        <v>137.51865671641792</v>
      </c>
      <c r="V876" t="s">
        <v>79</v>
      </c>
      <c r="W876" s="32">
        <v>15</v>
      </c>
      <c r="X876" s="32" t="s">
        <v>80</v>
      </c>
      <c r="AD876" s="1">
        <v>195018762092</v>
      </c>
      <c r="AN876">
        <v>30</v>
      </c>
      <c r="AO876" t="s">
        <v>81</v>
      </c>
    </row>
    <row r="877" spans="1:41" ht="120" x14ac:dyDescent="0.25">
      <c r="A877" s="2">
        <v>195018762108</v>
      </c>
      <c r="B877" t="s">
        <v>71</v>
      </c>
      <c r="C877" t="s">
        <v>72</v>
      </c>
      <c r="D877" t="s">
        <v>2660</v>
      </c>
      <c r="E877" t="s">
        <v>2661</v>
      </c>
      <c r="F877">
        <v>316210</v>
      </c>
      <c r="G877" s="35" t="s">
        <v>2628</v>
      </c>
      <c r="H877" s="31" t="s">
        <v>2662</v>
      </c>
      <c r="J877" t="s">
        <v>77</v>
      </c>
      <c r="M877">
        <v>180</v>
      </c>
      <c r="P877" t="s">
        <v>78</v>
      </c>
      <c r="Q877" s="55">
        <v>165.45454545454544</v>
      </c>
      <c r="R877" s="32">
        <v>91</v>
      </c>
      <c r="S877" s="33">
        <v>0.33</v>
      </c>
      <c r="T877" s="34">
        <f t="shared" si="27"/>
        <v>135.82089552238807</v>
      </c>
      <c r="U877" s="34">
        <f t="shared" si="28"/>
        <v>137.51865671641792</v>
      </c>
      <c r="V877" t="s">
        <v>79</v>
      </c>
      <c r="W877" s="32">
        <v>15</v>
      </c>
      <c r="X877" s="32" t="s">
        <v>80</v>
      </c>
      <c r="AD877" s="1">
        <v>195018762108</v>
      </c>
      <c r="AN877">
        <v>30</v>
      </c>
      <c r="AO877" t="s">
        <v>81</v>
      </c>
    </row>
    <row r="878" spans="1:41" ht="120" x14ac:dyDescent="0.25">
      <c r="A878" s="2">
        <v>195018762115</v>
      </c>
      <c r="B878" t="s">
        <v>71</v>
      </c>
      <c r="C878" t="s">
        <v>72</v>
      </c>
      <c r="D878" t="s">
        <v>2663</v>
      </c>
      <c r="E878" t="s">
        <v>2664</v>
      </c>
      <c r="F878">
        <v>316210</v>
      </c>
      <c r="G878" s="35" t="s">
        <v>2665</v>
      </c>
      <c r="H878" s="31" t="s">
        <v>2666</v>
      </c>
      <c r="J878" t="s">
        <v>77</v>
      </c>
      <c r="M878">
        <v>200</v>
      </c>
      <c r="P878" t="s">
        <v>78</v>
      </c>
      <c r="Q878" s="55">
        <v>185.45454545454544</v>
      </c>
      <c r="R878" s="32">
        <v>102</v>
      </c>
      <c r="S878" s="33">
        <v>0.33</v>
      </c>
      <c r="T878" s="34">
        <f t="shared" si="27"/>
        <v>152.23880597014926</v>
      </c>
      <c r="U878" s="34">
        <f t="shared" si="28"/>
        <v>154.14179104477611</v>
      </c>
      <c r="V878" t="s">
        <v>79</v>
      </c>
      <c r="W878" s="32">
        <v>15</v>
      </c>
      <c r="X878" s="32" t="s">
        <v>80</v>
      </c>
      <c r="AD878" s="1">
        <v>195018762115</v>
      </c>
      <c r="AN878">
        <v>30</v>
      </c>
      <c r="AO878" t="s">
        <v>81</v>
      </c>
    </row>
    <row r="879" spans="1:41" ht="120" x14ac:dyDescent="0.25">
      <c r="A879" s="2">
        <v>195018762122</v>
      </c>
      <c r="B879" t="s">
        <v>71</v>
      </c>
      <c r="C879" t="s">
        <v>72</v>
      </c>
      <c r="D879" t="s">
        <v>2667</v>
      </c>
      <c r="E879" t="s">
        <v>2668</v>
      </c>
      <c r="F879">
        <v>316210</v>
      </c>
      <c r="G879" s="35" t="s">
        <v>2665</v>
      </c>
      <c r="H879" s="31" t="s">
        <v>2669</v>
      </c>
      <c r="J879" t="s">
        <v>77</v>
      </c>
      <c r="M879">
        <v>200</v>
      </c>
      <c r="P879" t="s">
        <v>78</v>
      </c>
      <c r="Q879" s="55">
        <v>185.45454545454544</v>
      </c>
      <c r="R879" s="32">
        <v>102</v>
      </c>
      <c r="S879" s="33">
        <v>0.33</v>
      </c>
      <c r="T879" s="34">
        <f t="shared" si="27"/>
        <v>152.23880597014926</v>
      </c>
      <c r="U879" s="34">
        <f t="shared" si="28"/>
        <v>154.14179104477611</v>
      </c>
      <c r="V879" t="s">
        <v>79</v>
      </c>
      <c r="W879" s="32">
        <v>15</v>
      </c>
      <c r="X879" s="32" t="s">
        <v>80</v>
      </c>
      <c r="AD879" s="1">
        <v>195018762122</v>
      </c>
      <c r="AN879">
        <v>30</v>
      </c>
      <c r="AO879" t="s">
        <v>81</v>
      </c>
    </row>
    <row r="880" spans="1:41" ht="120" x14ac:dyDescent="0.25">
      <c r="A880" s="2">
        <v>195018762139</v>
      </c>
      <c r="B880" t="s">
        <v>71</v>
      </c>
      <c r="C880" t="s">
        <v>72</v>
      </c>
      <c r="D880" t="s">
        <v>2670</v>
      </c>
      <c r="E880" t="s">
        <v>2671</v>
      </c>
      <c r="F880">
        <v>316210</v>
      </c>
      <c r="G880" s="35" t="s">
        <v>2665</v>
      </c>
      <c r="H880" s="31" t="s">
        <v>2672</v>
      </c>
      <c r="J880" t="s">
        <v>77</v>
      </c>
      <c r="M880">
        <v>200</v>
      </c>
      <c r="P880" t="s">
        <v>78</v>
      </c>
      <c r="Q880" s="55">
        <v>185.45454545454544</v>
      </c>
      <c r="R880" s="32">
        <v>102</v>
      </c>
      <c r="S880" s="33">
        <v>0.33</v>
      </c>
      <c r="T880" s="34">
        <f t="shared" si="27"/>
        <v>152.23880597014926</v>
      </c>
      <c r="U880" s="34">
        <f t="shared" si="28"/>
        <v>154.14179104477611</v>
      </c>
      <c r="V880" t="s">
        <v>79</v>
      </c>
      <c r="W880" s="32">
        <v>15</v>
      </c>
      <c r="X880" s="32" t="s">
        <v>80</v>
      </c>
      <c r="AD880" s="1">
        <v>195018762139</v>
      </c>
      <c r="AN880">
        <v>30</v>
      </c>
      <c r="AO880" t="s">
        <v>81</v>
      </c>
    </row>
    <row r="881" spans="1:41" ht="120" x14ac:dyDescent="0.25">
      <c r="A881" s="2">
        <v>195018762146</v>
      </c>
      <c r="B881" t="s">
        <v>71</v>
      </c>
      <c r="C881" t="s">
        <v>72</v>
      </c>
      <c r="D881" t="s">
        <v>2673</v>
      </c>
      <c r="E881" t="s">
        <v>2674</v>
      </c>
      <c r="F881">
        <v>316210</v>
      </c>
      <c r="G881" s="35" t="s">
        <v>2665</v>
      </c>
      <c r="H881" s="31" t="s">
        <v>2675</v>
      </c>
      <c r="J881" t="s">
        <v>77</v>
      </c>
      <c r="M881">
        <v>200</v>
      </c>
      <c r="P881" t="s">
        <v>78</v>
      </c>
      <c r="Q881" s="55">
        <v>185.45454545454544</v>
      </c>
      <c r="R881" s="32">
        <v>102</v>
      </c>
      <c r="S881" s="33">
        <v>0.33</v>
      </c>
      <c r="T881" s="34">
        <f t="shared" si="27"/>
        <v>152.23880597014926</v>
      </c>
      <c r="U881" s="34">
        <f t="shared" si="28"/>
        <v>154.14179104477611</v>
      </c>
      <c r="V881" t="s">
        <v>79</v>
      </c>
      <c r="W881" s="32">
        <v>15</v>
      </c>
      <c r="X881" s="32" t="s">
        <v>80</v>
      </c>
      <c r="AD881" s="1">
        <v>195018762146</v>
      </c>
      <c r="AN881">
        <v>30</v>
      </c>
      <c r="AO881" t="s">
        <v>81</v>
      </c>
    </row>
    <row r="882" spans="1:41" ht="120" x14ac:dyDescent="0.25">
      <c r="A882" s="2">
        <v>195018762153</v>
      </c>
      <c r="B882" t="s">
        <v>71</v>
      </c>
      <c r="C882" t="s">
        <v>72</v>
      </c>
      <c r="D882" t="s">
        <v>2676</v>
      </c>
      <c r="E882" t="s">
        <v>2677</v>
      </c>
      <c r="F882">
        <v>316210</v>
      </c>
      <c r="G882" s="35" t="s">
        <v>2665</v>
      </c>
      <c r="H882" s="31" t="s">
        <v>2678</v>
      </c>
      <c r="J882" t="s">
        <v>77</v>
      </c>
      <c r="M882">
        <v>200</v>
      </c>
      <c r="P882" t="s">
        <v>78</v>
      </c>
      <c r="Q882" s="55">
        <v>185.45454545454544</v>
      </c>
      <c r="R882" s="32">
        <v>102</v>
      </c>
      <c r="S882" s="33">
        <v>0.33</v>
      </c>
      <c r="T882" s="34">
        <f t="shared" si="27"/>
        <v>152.23880597014926</v>
      </c>
      <c r="U882" s="34">
        <f t="shared" si="28"/>
        <v>154.14179104477611</v>
      </c>
      <c r="V882" t="s">
        <v>79</v>
      </c>
      <c r="W882" s="32">
        <v>15</v>
      </c>
      <c r="X882" s="32" t="s">
        <v>80</v>
      </c>
      <c r="AD882" s="1">
        <v>195018762153</v>
      </c>
      <c r="AN882">
        <v>30</v>
      </c>
      <c r="AO882" t="s">
        <v>81</v>
      </c>
    </row>
    <row r="883" spans="1:41" ht="120" x14ac:dyDescent="0.25">
      <c r="A883" s="2">
        <v>195018762160</v>
      </c>
      <c r="B883" t="s">
        <v>71</v>
      </c>
      <c r="C883" t="s">
        <v>72</v>
      </c>
      <c r="D883" t="s">
        <v>2679</v>
      </c>
      <c r="E883" t="s">
        <v>2680</v>
      </c>
      <c r="F883">
        <v>316210</v>
      </c>
      <c r="G883" s="35" t="s">
        <v>2665</v>
      </c>
      <c r="H883" s="31" t="s">
        <v>2681</v>
      </c>
      <c r="J883" t="s">
        <v>77</v>
      </c>
      <c r="M883">
        <v>200</v>
      </c>
      <c r="P883" t="s">
        <v>78</v>
      </c>
      <c r="Q883" s="55">
        <v>185.45454545454544</v>
      </c>
      <c r="R883" s="32">
        <v>102</v>
      </c>
      <c r="S883" s="33">
        <v>0.33</v>
      </c>
      <c r="T883" s="34">
        <f t="shared" si="27"/>
        <v>152.23880597014926</v>
      </c>
      <c r="U883" s="34">
        <f t="shared" si="28"/>
        <v>154.14179104477611</v>
      </c>
      <c r="V883" t="s">
        <v>79</v>
      </c>
      <c r="W883" s="32">
        <v>15</v>
      </c>
      <c r="X883" s="32" t="s">
        <v>80</v>
      </c>
      <c r="AD883" s="1">
        <v>195018762160</v>
      </c>
      <c r="AN883">
        <v>30</v>
      </c>
      <c r="AO883" t="s">
        <v>81</v>
      </c>
    </row>
    <row r="884" spans="1:41" ht="120" x14ac:dyDescent="0.25">
      <c r="A884" s="2">
        <v>195018762177</v>
      </c>
      <c r="B884" t="s">
        <v>71</v>
      </c>
      <c r="C884" t="s">
        <v>72</v>
      </c>
      <c r="D884" t="s">
        <v>2682</v>
      </c>
      <c r="E884" t="s">
        <v>2683</v>
      </c>
      <c r="F884">
        <v>316210</v>
      </c>
      <c r="G884" s="35" t="s">
        <v>2665</v>
      </c>
      <c r="H884" s="31" t="s">
        <v>2684</v>
      </c>
      <c r="J884" t="s">
        <v>77</v>
      </c>
      <c r="M884">
        <v>200</v>
      </c>
      <c r="P884" t="s">
        <v>78</v>
      </c>
      <c r="Q884" s="55">
        <v>185.45454545454544</v>
      </c>
      <c r="R884" s="32">
        <v>102</v>
      </c>
      <c r="S884" s="33">
        <v>0.33</v>
      </c>
      <c r="T884" s="34">
        <f t="shared" si="27"/>
        <v>152.23880597014926</v>
      </c>
      <c r="U884" s="34">
        <f t="shared" si="28"/>
        <v>154.14179104477611</v>
      </c>
      <c r="V884" t="s">
        <v>79</v>
      </c>
      <c r="W884" s="32">
        <v>15</v>
      </c>
      <c r="X884" s="32" t="s">
        <v>80</v>
      </c>
      <c r="AD884" s="1">
        <v>195018762177</v>
      </c>
      <c r="AN884">
        <v>30</v>
      </c>
      <c r="AO884" t="s">
        <v>81</v>
      </c>
    </row>
    <row r="885" spans="1:41" ht="120" x14ac:dyDescent="0.25">
      <c r="A885" s="2">
        <v>195018762184</v>
      </c>
      <c r="B885" t="s">
        <v>71</v>
      </c>
      <c r="C885" t="s">
        <v>72</v>
      </c>
      <c r="D885" t="s">
        <v>2685</v>
      </c>
      <c r="E885" t="s">
        <v>2686</v>
      </c>
      <c r="F885">
        <v>316210</v>
      </c>
      <c r="G885" s="35" t="s">
        <v>2665</v>
      </c>
      <c r="H885" s="31" t="s">
        <v>2687</v>
      </c>
      <c r="J885" t="s">
        <v>77</v>
      </c>
      <c r="M885">
        <v>200</v>
      </c>
      <c r="P885" t="s">
        <v>78</v>
      </c>
      <c r="Q885" s="55">
        <v>185.45454545454544</v>
      </c>
      <c r="R885" s="32">
        <v>102</v>
      </c>
      <c r="S885" s="33">
        <v>0.33</v>
      </c>
      <c r="T885" s="34">
        <f t="shared" si="27"/>
        <v>152.23880597014926</v>
      </c>
      <c r="U885" s="34">
        <f t="shared" si="28"/>
        <v>154.14179104477611</v>
      </c>
      <c r="V885" t="s">
        <v>79</v>
      </c>
      <c r="W885" s="32">
        <v>15</v>
      </c>
      <c r="X885" s="32" t="s">
        <v>80</v>
      </c>
      <c r="AD885" s="1">
        <v>195018762184</v>
      </c>
      <c r="AN885">
        <v>30</v>
      </c>
      <c r="AO885" t="s">
        <v>81</v>
      </c>
    </row>
    <row r="886" spans="1:41" ht="120" x14ac:dyDescent="0.25">
      <c r="A886" s="2">
        <v>195018762191</v>
      </c>
      <c r="B886" t="s">
        <v>71</v>
      </c>
      <c r="C886" t="s">
        <v>72</v>
      </c>
      <c r="D886" t="s">
        <v>2688</v>
      </c>
      <c r="E886" t="s">
        <v>2689</v>
      </c>
      <c r="F886">
        <v>316210</v>
      </c>
      <c r="G886" s="35" t="s">
        <v>2665</v>
      </c>
      <c r="H886" s="31" t="s">
        <v>2690</v>
      </c>
      <c r="J886" t="s">
        <v>77</v>
      </c>
      <c r="M886">
        <v>200</v>
      </c>
      <c r="P886" t="s">
        <v>78</v>
      </c>
      <c r="Q886" s="55">
        <v>185.45454545454544</v>
      </c>
      <c r="R886" s="32">
        <v>102</v>
      </c>
      <c r="S886" s="33">
        <v>0.33</v>
      </c>
      <c r="T886" s="34">
        <f t="shared" si="27"/>
        <v>152.23880597014926</v>
      </c>
      <c r="U886" s="34">
        <f t="shared" si="28"/>
        <v>154.14179104477611</v>
      </c>
      <c r="V886" t="s">
        <v>79</v>
      </c>
      <c r="W886" s="32">
        <v>15</v>
      </c>
      <c r="X886" s="32" t="s">
        <v>80</v>
      </c>
      <c r="AD886" s="1">
        <v>195018762191</v>
      </c>
      <c r="AN886">
        <v>30</v>
      </c>
      <c r="AO886" t="s">
        <v>81</v>
      </c>
    </row>
    <row r="887" spans="1:41" ht="120" x14ac:dyDescent="0.25">
      <c r="A887" s="2">
        <v>195018762207</v>
      </c>
      <c r="B887" t="s">
        <v>71</v>
      </c>
      <c r="C887" t="s">
        <v>72</v>
      </c>
      <c r="D887" t="s">
        <v>2691</v>
      </c>
      <c r="E887" t="s">
        <v>2692</v>
      </c>
      <c r="F887">
        <v>316210</v>
      </c>
      <c r="G887" s="35" t="s">
        <v>2665</v>
      </c>
      <c r="H887" s="31" t="s">
        <v>2693</v>
      </c>
      <c r="J887" t="s">
        <v>77</v>
      </c>
      <c r="M887">
        <v>200</v>
      </c>
      <c r="P887" t="s">
        <v>78</v>
      </c>
      <c r="Q887" s="55">
        <v>185.45454545454544</v>
      </c>
      <c r="R887" s="32">
        <v>102</v>
      </c>
      <c r="S887" s="33">
        <v>0.33</v>
      </c>
      <c r="T887" s="34">
        <f t="shared" si="27"/>
        <v>152.23880597014926</v>
      </c>
      <c r="U887" s="34">
        <f t="shared" si="28"/>
        <v>154.14179104477611</v>
      </c>
      <c r="V887" t="s">
        <v>79</v>
      </c>
      <c r="W887" s="32">
        <v>15</v>
      </c>
      <c r="X887" s="32" t="s">
        <v>80</v>
      </c>
      <c r="AD887" s="1">
        <v>195018762207</v>
      </c>
      <c r="AN887">
        <v>30</v>
      </c>
      <c r="AO887" t="s">
        <v>81</v>
      </c>
    </row>
    <row r="888" spans="1:41" ht="120" x14ac:dyDescent="0.25">
      <c r="A888" s="2">
        <v>195018762214</v>
      </c>
      <c r="B888" t="s">
        <v>71</v>
      </c>
      <c r="C888" t="s">
        <v>72</v>
      </c>
      <c r="D888" t="s">
        <v>2694</v>
      </c>
      <c r="E888" t="s">
        <v>2695</v>
      </c>
      <c r="F888">
        <v>316210</v>
      </c>
      <c r="G888" s="35" t="s">
        <v>2665</v>
      </c>
      <c r="H888" s="31" t="s">
        <v>2696</v>
      </c>
      <c r="J888" t="s">
        <v>77</v>
      </c>
      <c r="M888">
        <v>200</v>
      </c>
      <c r="P888" t="s">
        <v>78</v>
      </c>
      <c r="Q888" s="55">
        <v>185.45454545454544</v>
      </c>
      <c r="R888" s="32">
        <v>102</v>
      </c>
      <c r="S888" s="33">
        <v>0.33</v>
      </c>
      <c r="T888" s="34">
        <f t="shared" si="27"/>
        <v>152.23880597014926</v>
      </c>
      <c r="U888" s="34">
        <f t="shared" si="28"/>
        <v>154.14179104477611</v>
      </c>
      <c r="V888" t="s">
        <v>79</v>
      </c>
      <c r="W888" s="32">
        <v>15</v>
      </c>
      <c r="X888" s="32" t="s">
        <v>80</v>
      </c>
      <c r="AD888" s="1">
        <v>195018762214</v>
      </c>
      <c r="AN888">
        <v>30</v>
      </c>
      <c r="AO888" t="s">
        <v>81</v>
      </c>
    </row>
    <row r="889" spans="1:41" ht="120" x14ac:dyDescent="0.25">
      <c r="A889" s="2">
        <v>195018762221</v>
      </c>
      <c r="B889" t="s">
        <v>71</v>
      </c>
      <c r="C889" t="s">
        <v>72</v>
      </c>
      <c r="D889" t="s">
        <v>2697</v>
      </c>
      <c r="E889" t="s">
        <v>2698</v>
      </c>
      <c r="F889">
        <v>316210</v>
      </c>
      <c r="G889" s="35" t="s">
        <v>2665</v>
      </c>
      <c r="H889" s="31" t="s">
        <v>2699</v>
      </c>
      <c r="J889" t="s">
        <v>77</v>
      </c>
      <c r="M889">
        <v>200</v>
      </c>
      <c r="P889" t="s">
        <v>78</v>
      </c>
      <c r="Q889" s="55">
        <v>185.45454545454544</v>
      </c>
      <c r="R889" s="32">
        <v>102</v>
      </c>
      <c r="S889" s="33">
        <v>0.33</v>
      </c>
      <c r="T889" s="34">
        <f t="shared" si="27"/>
        <v>152.23880597014926</v>
      </c>
      <c r="U889" s="34">
        <f t="shared" si="28"/>
        <v>154.14179104477611</v>
      </c>
      <c r="V889" t="s">
        <v>79</v>
      </c>
      <c r="W889" s="32">
        <v>15</v>
      </c>
      <c r="X889" s="32" t="s">
        <v>80</v>
      </c>
      <c r="AD889" s="1">
        <v>195018762221</v>
      </c>
      <c r="AN889">
        <v>30</v>
      </c>
      <c r="AO889" t="s">
        <v>81</v>
      </c>
    </row>
    <row r="890" spans="1:41" ht="90" x14ac:dyDescent="0.25">
      <c r="A890" s="2">
        <v>886129941284</v>
      </c>
      <c r="B890" t="s">
        <v>71</v>
      </c>
      <c r="C890" t="s">
        <v>72</v>
      </c>
      <c r="D890" t="s">
        <v>2700</v>
      </c>
      <c r="E890" t="s">
        <v>2701</v>
      </c>
      <c r="F890">
        <v>316210</v>
      </c>
      <c r="G890" s="35" t="s">
        <v>2702</v>
      </c>
      <c r="H890" s="31" t="s">
        <v>2703</v>
      </c>
      <c r="J890" t="s">
        <v>77</v>
      </c>
      <c r="M890">
        <v>190</v>
      </c>
      <c r="P890" t="s">
        <v>78</v>
      </c>
      <c r="Q890" s="55">
        <v>174.54545454545453</v>
      </c>
      <c r="R890" s="32">
        <v>96</v>
      </c>
      <c r="S890" s="33">
        <v>0.33</v>
      </c>
      <c r="T890" s="34">
        <f t="shared" si="27"/>
        <v>143.28358208955225</v>
      </c>
      <c r="U890" s="34">
        <f t="shared" si="28"/>
        <v>145.07462686567166</v>
      </c>
      <c r="V890" t="s">
        <v>640</v>
      </c>
      <c r="W890" s="32">
        <v>15</v>
      </c>
      <c r="X890" s="32" t="s">
        <v>80</v>
      </c>
      <c r="AD890" s="1">
        <v>886129941284</v>
      </c>
      <c r="AN890">
        <v>30</v>
      </c>
      <c r="AO890" t="s">
        <v>81</v>
      </c>
    </row>
    <row r="891" spans="1:41" ht="90" x14ac:dyDescent="0.25">
      <c r="A891" s="2">
        <v>886129941291</v>
      </c>
      <c r="B891" t="s">
        <v>71</v>
      </c>
      <c r="C891" t="s">
        <v>72</v>
      </c>
      <c r="D891" t="s">
        <v>2704</v>
      </c>
      <c r="E891" t="s">
        <v>2705</v>
      </c>
      <c r="F891">
        <v>316210</v>
      </c>
      <c r="G891" s="35" t="s">
        <v>2702</v>
      </c>
      <c r="H891" s="31" t="s">
        <v>2706</v>
      </c>
      <c r="J891" t="s">
        <v>77</v>
      </c>
      <c r="M891">
        <v>190</v>
      </c>
      <c r="P891" t="s">
        <v>78</v>
      </c>
      <c r="Q891" s="55">
        <v>174.54545454545453</v>
      </c>
      <c r="R891" s="32">
        <v>96</v>
      </c>
      <c r="S891" s="33">
        <v>0.33</v>
      </c>
      <c r="T891" s="34">
        <f t="shared" si="27"/>
        <v>143.28358208955225</v>
      </c>
      <c r="U891" s="34">
        <f t="shared" si="28"/>
        <v>145.07462686567166</v>
      </c>
      <c r="V891" t="s">
        <v>640</v>
      </c>
      <c r="W891" s="32">
        <v>15</v>
      </c>
      <c r="X891" s="32" t="s">
        <v>80</v>
      </c>
      <c r="AD891" s="1">
        <v>886129941291</v>
      </c>
      <c r="AN891">
        <v>30</v>
      </c>
      <c r="AO891" t="s">
        <v>81</v>
      </c>
    </row>
    <row r="892" spans="1:41" ht="90" x14ac:dyDescent="0.25">
      <c r="A892" s="2">
        <v>886129941307</v>
      </c>
      <c r="B892" t="s">
        <v>71</v>
      </c>
      <c r="C892" t="s">
        <v>72</v>
      </c>
      <c r="D892" t="s">
        <v>2707</v>
      </c>
      <c r="E892" t="s">
        <v>2708</v>
      </c>
      <c r="F892">
        <v>316210</v>
      </c>
      <c r="G892" s="35" t="s">
        <v>2702</v>
      </c>
      <c r="H892" s="31" t="s">
        <v>2709</v>
      </c>
      <c r="J892" t="s">
        <v>77</v>
      </c>
      <c r="M892">
        <v>190</v>
      </c>
      <c r="P892" t="s">
        <v>78</v>
      </c>
      <c r="Q892" s="55">
        <v>174.54545454545453</v>
      </c>
      <c r="R892" s="32">
        <v>96</v>
      </c>
      <c r="S892" s="33">
        <v>0.33</v>
      </c>
      <c r="T892" s="34">
        <f t="shared" si="27"/>
        <v>143.28358208955225</v>
      </c>
      <c r="U892" s="34">
        <f t="shared" si="28"/>
        <v>145.07462686567166</v>
      </c>
      <c r="V892" t="s">
        <v>640</v>
      </c>
      <c r="W892" s="32">
        <v>15</v>
      </c>
      <c r="X892" s="32" t="s">
        <v>80</v>
      </c>
      <c r="AD892" s="1">
        <v>886129941307</v>
      </c>
      <c r="AN892">
        <v>30</v>
      </c>
      <c r="AO892" t="s">
        <v>81</v>
      </c>
    </row>
    <row r="893" spans="1:41" ht="90" x14ac:dyDescent="0.25">
      <c r="A893" s="2">
        <v>886129941314</v>
      </c>
      <c r="B893" t="s">
        <v>71</v>
      </c>
      <c r="C893" t="s">
        <v>72</v>
      </c>
      <c r="D893" t="s">
        <v>2710</v>
      </c>
      <c r="E893" t="s">
        <v>2711</v>
      </c>
      <c r="F893">
        <v>316210</v>
      </c>
      <c r="G893" s="35" t="s">
        <v>2702</v>
      </c>
      <c r="H893" s="31" t="s">
        <v>2712</v>
      </c>
      <c r="J893" t="s">
        <v>77</v>
      </c>
      <c r="M893">
        <v>190</v>
      </c>
      <c r="P893" t="s">
        <v>78</v>
      </c>
      <c r="Q893" s="55">
        <v>174.54545454545453</v>
      </c>
      <c r="R893" s="32">
        <v>96</v>
      </c>
      <c r="S893" s="33">
        <v>0.33</v>
      </c>
      <c r="T893" s="34">
        <f t="shared" si="27"/>
        <v>143.28358208955225</v>
      </c>
      <c r="U893" s="34">
        <f t="shared" si="28"/>
        <v>145.07462686567166</v>
      </c>
      <c r="V893" t="s">
        <v>640</v>
      </c>
      <c r="W893" s="32">
        <v>15</v>
      </c>
      <c r="X893" s="32" t="s">
        <v>80</v>
      </c>
      <c r="AD893" s="1">
        <v>886129941314</v>
      </c>
      <c r="AN893">
        <v>30</v>
      </c>
      <c r="AO893" t="s">
        <v>81</v>
      </c>
    </row>
    <row r="894" spans="1:41" ht="90" x14ac:dyDescent="0.25">
      <c r="A894" s="2">
        <v>886129941321</v>
      </c>
      <c r="B894" t="s">
        <v>71</v>
      </c>
      <c r="C894" t="s">
        <v>72</v>
      </c>
      <c r="D894" t="s">
        <v>2713</v>
      </c>
      <c r="E894" t="s">
        <v>2714</v>
      </c>
      <c r="F894">
        <v>316210</v>
      </c>
      <c r="G894" s="35" t="s">
        <v>2702</v>
      </c>
      <c r="H894" s="31" t="s">
        <v>2715</v>
      </c>
      <c r="J894" t="s">
        <v>77</v>
      </c>
      <c r="M894">
        <v>190</v>
      </c>
      <c r="P894" t="s">
        <v>78</v>
      </c>
      <c r="Q894" s="55">
        <v>174.54545454545453</v>
      </c>
      <c r="R894" s="32">
        <v>96</v>
      </c>
      <c r="S894" s="33">
        <v>0.33</v>
      </c>
      <c r="T894" s="34">
        <f t="shared" si="27"/>
        <v>143.28358208955225</v>
      </c>
      <c r="U894" s="34">
        <f t="shared" si="28"/>
        <v>145.07462686567166</v>
      </c>
      <c r="V894" t="s">
        <v>640</v>
      </c>
      <c r="W894" s="32">
        <v>15</v>
      </c>
      <c r="X894" s="32" t="s">
        <v>80</v>
      </c>
      <c r="AD894" s="1">
        <v>886129941321</v>
      </c>
      <c r="AN894">
        <v>30</v>
      </c>
      <c r="AO894" t="s">
        <v>81</v>
      </c>
    </row>
    <row r="895" spans="1:41" ht="90" x14ac:dyDescent="0.25">
      <c r="A895" s="2">
        <v>886129941338</v>
      </c>
      <c r="B895" t="s">
        <v>71</v>
      </c>
      <c r="C895" t="s">
        <v>72</v>
      </c>
      <c r="D895" t="s">
        <v>2716</v>
      </c>
      <c r="E895" t="s">
        <v>2717</v>
      </c>
      <c r="F895">
        <v>316210</v>
      </c>
      <c r="G895" s="35" t="s">
        <v>2702</v>
      </c>
      <c r="H895" s="31" t="s">
        <v>2718</v>
      </c>
      <c r="J895" t="s">
        <v>77</v>
      </c>
      <c r="M895">
        <v>190</v>
      </c>
      <c r="P895" t="s">
        <v>78</v>
      </c>
      <c r="Q895" s="55">
        <v>174.54545454545453</v>
      </c>
      <c r="R895" s="32">
        <v>96</v>
      </c>
      <c r="S895" s="33">
        <v>0.33</v>
      </c>
      <c r="T895" s="34">
        <f t="shared" si="27"/>
        <v>143.28358208955225</v>
      </c>
      <c r="U895" s="34">
        <f t="shared" si="28"/>
        <v>145.07462686567166</v>
      </c>
      <c r="V895" t="s">
        <v>640</v>
      </c>
      <c r="W895" s="32">
        <v>15</v>
      </c>
      <c r="X895" s="32" t="s">
        <v>80</v>
      </c>
      <c r="AD895" s="1">
        <v>886129941338</v>
      </c>
      <c r="AN895">
        <v>30</v>
      </c>
      <c r="AO895" t="s">
        <v>81</v>
      </c>
    </row>
    <row r="896" spans="1:41" ht="90" x14ac:dyDescent="0.25">
      <c r="A896" s="2">
        <v>884547403094</v>
      </c>
      <c r="B896" t="s">
        <v>71</v>
      </c>
      <c r="C896" t="s">
        <v>72</v>
      </c>
      <c r="D896" t="s">
        <v>2719</v>
      </c>
      <c r="E896" t="s">
        <v>2720</v>
      </c>
      <c r="F896">
        <v>316210</v>
      </c>
      <c r="G896" s="35" t="s">
        <v>2702</v>
      </c>
      <c r="H896" s="31" t="s">
        <v>2721</v>
      </c>
      <c r="J896" t="s">
        <v>77</v>
      </c>
      <c r="M896">
        <v>190</v>
      </c>
      <c r="P896" t="s">
        <v>78</v>
      </c>
      <c r="Q896" s="55">
        <v>174.54545454545453</v>
      </c>
      <c r="R896" s="32">
        <v>96</v>
      </c>
      <c r="S896" s="33">
        <v>0.33</v>
      </c>
      <c r="T896" s="34">
        <f t="shared" si="27"/>
        <v>143.28358208955225</v>
      </c>
      <c r="U896" s="34">
        <f t="shared" si="28"/>
        <v>145.07462686567166</v>
      </c>
      <c r="V896" t="s">
        <v>640</v>
      </c>
      <c r="W896" s="32">
        <v>15</v>
      </c>
      <c r="X896" s="32" t="s">
        <v>80</v>
      </c>
      <c r="AD896" s="1">
        <v>884547403094</v>
      </c>
      <c r="AN896">
        <v>30</v>
      </c>
      <c r="AO896" t="s">
        <v>81</v>
      </c>
    </row>
    <row r="897" spans="1:41" ht="90" x14ac:dyDescent="0.25">
      <c r="A897" s="2">
        <v>884547402967</v>
      </c>
      <c r="B897" t="s">
        <v>71</v>
      </c>
      <c r="C897" t="s">
        <v>72</v>
      </c>
      <c r="D897" t="s">
        <v>2722</v>
      </c>
      <c r="E897" t="s">
        <v>2723</v>
      </c>
      <c r="F897">
        <v>316210</v>
      </c>
      <c r="G897" s="35" t="s">
        <v>2702</v>
      </c>
      <c r="H897" s="31" t="s">
        <v>2724</v>
      </c>
      <c r="J897" t="s">
        <v>77</v>
      </c>
      <c r="M897">
        <v>190</v>
      </c>
      <c r="P897" t="s">
        <v>78</v>
      </c>
      <c r="Q897" s="55">
        <v>174.54545454545453</v>
      </c>
      <c r="R897" s="32">
        <v>96</v>
      </c>
      <c r="S897" s="33">
        <v>0.33</v>
      </c>
      <c r="T897" s="34">
        <f t="shared" si="27"/>
        <v>143.28358208955225</v>
      </c>
      <c r="U897" s="34">
        <f t="shared" si="28"/>
        <v>145.07462686567166</v>
      </c>
      <c r="V897" t="s">
        <v>640</v>
      </c>
      <c r="W897" s="32">
        <v>15</v>
      </c>
      <c r="X897" s="32" t="s">
        <v>80</v>
      </c>
      <c r="AD897" s="1">
        <v>884547402967</v>
      </c>
      <c r="AN897">
        <v>30</v>
      </c>
      <c r="AO897" t="s">
        <v>81</v>
      </c>
    </row>
    <row r="898" spans="1:41" ht="90" x14ac:dyDescent="0.25">
      <c r="A898" s="2">
        <v>884547403100</v>
      </c>
      <c r="B898" t="s">
        <v>71</v>
      </c>
      <c r="C898" t="s">
        <v>72</v>
      </c>
      <c r="D898" t="s">
        <v>2725</v>
      </c>
      <c r="E898" t="s">
        <v>2726</v>
      </c>
      <c r="F898">
        <v>316210</v>
      </c>
      <c r="G898" s="35" t="s">
        <v>2702</v>
      </c>
      <c r="H898" s="31" t="s">
        <v>2727</v>
      </c>
      <c r="J898" t="s">
        <v>77</v>
      </c>
      <c r="M898">
        <v>190</v>
      </c>
      <c r="P898" t="s">
        <v>78</v>
      </c>
      <c r="Q898" s="55">
        <v>174.54545454545453</v>
      </c>
      <c r="R898" s="32">
        <v>96</v>
      </c>
      <c r="S898" s="33">
        <v>0.33</v>
      </c>
      <c r="T898" s="34">
        <f t="shared" si="27"/>
        <v>143.28358208955225</v>
      </c>
      <c r="U898" s="34">
        <f t="shared" si="28"/>
        <v>145.07462686567166</v>
      </c>
      <c r="V898" t="s">
        <v>640</v>
      </c>
      <c r="W898" s="32">
        <v>15</v>
      </c>
      <c r="X898" s="32" t="s">
        <v>80</v>
      </c>
      <c r="AD898" s="1">
        <v>884547403100</v>
      </c>
      <c r="AN898">
        <v>30</v>
      </c>
      <c r="AO898" t="s">
        <v>81</v>
      </c>
    </row>
    <row r="899" spans="1:41" ht="90" x14ac:dyDescent="0.25">
      <c r="A899" s="2">
        <v>884547402974</v>
      </c>
      <c r="B899" t="s">
        <v>71</v>
      </c>
      <c r="C899" t="s">
        <v>72</v>
      </c>
      <c r="D899" t="s">
        <v>2728</v>
      </c>
      <c r="E899" t="s">
        <v>2729</v>
      </c>
      <c r="F899">
        <v>316210</v>
      </c>
      <c r="G899" s="35" t="s">
        <v>2702</v>
      </c>
      <c r="H899" s="31" t="s">
        <v>2730</v>
      </c>
      <c r="J899" t="s">
        <v>77</v>
      </c>
      <c r="M899">
        <v>190</v>
      </c>
      <c r="P899" t="s">
        <v>78</v>
      </c>
      <c r="Q899" s="55">
        <v>174.54545454545453</v>
      </c>
      <c r="R899" s="32">
        <v>96</v>
      </c>
      <c r="S899" s="33">
        <v>0.33</v>
      </c>
      <c r="T899" s="34">
        <f t="shared" si="27"/>
        <v>143.28358208955225</v>
      </c>
      <c r="U899" s="34">
        <f t="shared" si="28"/>
        <v>145.07462686567166</v>
      </c>
      <c r="V899" t="s">
        <v>640</v>
      </c>
      <c r="W899" s="32">
        <v>15</v>
      </c>
      <c r="X899" s="32" t="s">
        <v>80</v>
      </c>
      <c r="AD899" s="1">
        <v>884547402974</v>
      </c>
      <c r="AN899">
        <v>30</v>
      </c>
      <c r="AO899" t="s">
        <v>81</v>
      </c>
    </row>
    <row r="900" spans="1:41" ht="90" x14ac:dyDescent="0.25">
      <c r="A900" s="2">
        <v>884547403117</v>
      </c>
      <c r="B900" t="s">
        <v>71</v>
      </c>
      <c r="C900" t="s">
        <v>72</v>
      </c>
      <c r="D900" t="s">
        <v>2731</v>
      </c>
      <c r="E900" t="s">
        <v>2732</v>
      </c>
      <c r="F900">
        <v>316210</v>
      </c>
      <c r="G900" s="35" t="s">
        <v>2702</v>
      </c>
      <c r="H900" s="31" t="s">
        <v>2733</v>
      </c>
      <c r="J900" t="s">
        <v>77</v>
      </c>
      <c r="M900">
        <v>190</v>
      </c>
      <c r="P900" t="s">
        <v>78</v>
      </c>
      <c r="Q900" s="55">
        <v>174.54545454545453</v>
      </c>
      <c r="R900" s="32">
        <v>96</v>
      </c>
      <c r="S900" s="33">
        <v>0.33</v>
      </c>
      <c r="T900" s="34">
        <f t="shared" ref="T900:T963" si="29">R900/(1-S900)</f>
        <v>143.28358208955225</v>
      </c>
      <c r="U900" s="34">
        <f t="shared" ref="U900:U963" si="30">T900*(1+1.25%)</f>
        <v>145.07462686567166</v>
      </c>
      <c r="V900" t="s">
        <v>640</v>
      </c>
      <c r="W900" s="32">
        <v>15</v>
      </c>
      <c r="X900" s="32" t="s">
        <v>80</v>
      </c>
      <c r="AD900" s="1">
        <v>884547403117</v>
      </c>
      <c r="AN900">
        <v>30</v>
      </c>
      <c r="AO900" t="s">
        <v>81</v>
      </c>
    </row>
    <row r="901" spans="1:41" ht="90" x14ac:dyDescent="0.25">
      <c r="A901" s="2">
        <v>884547402981</v>
      </c>
      <c r="B901" t="s">
        <v>71</v>
      </c>
      <c r="C901" t="s">
        <v>72</v>
      </c>
      <c r="D901" t="s">
        <v>2734</v>
      </c>
      <c r="E901" t="s">
        <v>2735</v>
      </c>
      <c r="F901">
        <v>316210</v>
      </c>
      <c r="G901" s="35" t="s">
        <v>2702</v>
      </c>
      <c r="H901" s="31" t="s">
        <v>2736</v>
      </c>
      <c r="J901" t="s">
        <v>77</v>
      </c>
      <c r="M901">
        <v>190</v>
      </c>
      <c r="P901" t="s">
        <v>78</v>
      </c>
      <c r="Q901" s="55">
        <v>174.54545454545453</v>
      </c>
      <c r="R901" s="32">
        <v>96</v>
      </c>
      <c r="S901" s="33">
        <v>0.33</v>
      </c>
      <c r="T901" s="34">
        <f t="shared" si="29"/>
        <v>143.28358208955225</v>
      </c>
      <c r="U901" s="34">
        <f t="shared" si="30"/>
        <v>145.07462686567166</v>
      </c>
      <c r="V901" t="s">
        <v>640</v>
      </c>
      <c r="W901" s="32">
        <v>15</v>
      </c>
      <c r="X901" s="32" t="s">
        <v>80</v>
      </c>
      <c r="AD901" s="1">
        <v>884547402981</v>
      </c>
      <c r="AN901">
        <v>30</v>
      </c>
      <c r="AO901" t="s">
        <v>81</v>
      </c>
    </row>
    <row r="902" spans="1:41" ht="90" x14ac:dyDescent="0.25">
      <c r="A902" s="2">
        <v>884547403124</v>
      </c>
      <c r="B902" t="s">
        <v>71</v>
      </c>
      <c r="C902" t="s">
        <v>72</v>
      </c>
      <c r="D902" t="s">
        <v>2737</v>
      </c>
      <c r="E902" t="s">
        <v>2738</v>
      </c>
      <c r="F902">
        <v>316210</v>
      </c>
      <c r="G902" s="35" t="s">
        <v>2702</v>
      </c>
      <c r="H902" s="31" t="s">
        <v>2739</v>
      </c>
      <c r="J902" t="s">
        <v>77</v>
      </c>
      <c r="M902">
        <v>190</v>
      </c>
      <c r="P902" t="s">
        <v>78</v>
      </c>
      <c r="Q902" s="55">
        <v>174.54545454545453</v>
      </c>
      <c r="R902" s="32">
        <v>96</v>
      </c>
      <c r="S902" s="33">
        <v>0.33</v>
      </c>
      <c r="T902" s="34">
        <f t="shared" si="29"/>
        <v>143.28358208955225</v>
      </c>
      <c r="U902" s="34">
        <f t="shared" si="30"/>
        <v>145.07462686567166</v>
      </c>
      <c r="V902" t="s">
        <v>640</v>
      </c>
      <c r="W902" s="32">
        <v>15</v>
      </c>
      <c r="X902" s="32" t="s">
        <v>80</v>
      </c>
      <c r="AD902" s="1">
        <v>884547403124</v>
      </c>
      <c r="AN902">
        <v>30</v>
      </c>
      <c r="AO902" t="s">
        <v>81</v>
      </c>
    </row>
    <row r="903" spans="1:41" ht="90" x14ac:dyDescent="0.25">
      <c r="A903" s="2">
        <v>884547402998</v>
      </c>
      <c r="B903" t="s">
        <v>71</v>
      </c>
      <c r="C903" t="s">
        <v>72</v>
      </c>
      <c r="D903" t="s">
        <v>2740</v>
      </c>
      <c r="E903" t="s">
        <v>2741</v>
      </c>
      <c r="F903">
        <v>316210</v>
      </c>
      <c r="G903" s="35" t="s">
        <v>2702</v>
      </c>
      <c r="H903" s="31" t="s">
        <v>2742</v>
      </c>
      <c r="J903" t="s">
        <v>77</v>
      </c>
      <c r="M903">
        <v>190</v>
      </c>
      <c r="P903" t="s">
        <v>78</v>
      </c>
      <c r="Q903" s="55">
        <v>174.54545454545453</v>
      </c>
      <c r="R903" s="32">
        <v>96</v>
      </c>
      <c r="S903" s="33">
        <v>0.33</v>
      </c>
      <c r="T903" s="34">
        <f t="shared" si="29"/>
        <v>143.28358208955225</v>
      </c>
      <c r="U903" s="34">
        <f t="shared" si="30"/>
        <v>145.07462686567166</v>
      </c>
      <c r="V903" t="s">
        <v>640</v>
      </c>
      <c r="W903" s="32">
        <v>15</v>
      </c>
      <c r="X903" s="32" t="s">
        <v>80</v>
      </c>
      <c r="AD903" s="1">
        <v>884547402998</v>
      </c>
      <c r="AN903">
        <v>30</v>
      </c>
      <c r="AO903" t="s">
        <v>81</v>
      </c>
    </row>
    <row r="904" spans="1:41" ht="90" x14ac:dyDescent="0.25">
      <c r="A904" s="2">
        <v>884547403131</v>
      </c>
      <c r="B904" t="s">
        <v>71</v>
      </c>
      <c r="C904" t="s">
        <v>72</v>
      </c>
      <c r="D904" t="s">
        <v>2743</v>
      </c>
      <c r="E904" t="s">
        <v>2744</v>
      </c>
      <c r="F904">
        <v>316210</v>
      </c>
      <c r="G904" s="35" t="s">
        <v>2702</v>
      </c>
      <c r="H904" s="31" t="s">
        <v>2745</v>
      </c>
      <c r="J904" t="s">
        <v>77</v>
      </c>
      <c r="M904">
        <v>190</v>
      </c>
      <c r="P904" t="s">
        <v>78</v>
      </c>
      <c r="Q904" s="55">
        <v>174.54545454545453</v>
      </c>
      <c r="R904" s="32">
        <v>96</v>
      </c>
      <c r="S904" s="33">
        <v>0.33</v>
      </c>
      <c r="T904" s="34">
        <f t="shared" si="29"/>
        <v>143.28358208955225</v>
      </c>
      <c r="U904" s="34">
        <f t="shared" si="30"/>
        <v>145.07462686567166</v>
      </c>
      <c r="V904" t="s">
        <v>640</v>
      </c>
      <c r="W904" s="32">
        <v>15</v>
      </c>
      <c r="X904" s="32" t="s">
        <v>80</v>
      </c>
      <c r="AD904" s="1">
        <v>884547403131</v>
      </c>
      <c r="AN904">
        <v>30</v>
      </c>
      <c r="AO904" t="s">
        <v>81</v>
      </c>
    </row>
    <row r="905" spans="1:41" ht="90" x14ac:dyDescent="0.25">
      <c r="A905" s="2">
        <v>884547403001</v>
      </c>
      <c r="B905" t="s">
        <v>71</v>
      </c>
      <c r="C905" t="s">
        <v>72</v>
      </c>
      <c r="D905" t="s">
        <v>2746</v>
      </c>
      <c r="E905" t="s">
        <v>2747</v>
      </c>
      <c r="F905">
        <v>316210</v>
      </c>
      <c r="G905" s="35" t="s">
        <v>2702</v>
      </c>
      <c r="H905" s="31" t="s">
        <v>2748</v>
      </c>
      <c r="J905" t="s">
        <v>77</v>
      </c>
      <c r="M905">
        <v>190</v>
      </c>
      <c r="P905" t="s">
        <v>78</v>
      </c>
      <c r="Q905" s="55">
        <v>174.54545454545453</v>
      </c>
      <c r="R905" s="32">
        <v>96</v>
      </c>
      <c r="S905" s="33">
        <v>0.33</v>
      </c>
      <c r="T905" s="34">
        <f t="shared" si="29"/>
        <v>143.28358208955225</v>
      </c>
      <c r="U905" s="34">
        <f t="shared" si="30"/>
        <v>145.07462686567166</v>
      </c>
      <c r="V905" t="s">
        <v>640</v>
      </c>
      <c r="W905" s="32">
        <v>15</v>
      </c>
      <c r="X905" s="32" t="s">
        <v>80</v>
      </c>
      <c r="AD905" s="1">
        <v>884547403001</v>
      </c>
      <c r="AN905">
        <v>30</v>
      </c>
      <c r="AO905" t="s">
        <v>81</v>
      </c>
    </row>
    <row r="906" spans="1:41" ht="90" x14ac:dyDescent="0.25">
      <c r="A906" s="2">
        <v>884547403148</v>
      </c>
      <c r="B906" t="s">
        <v>71</v>
      </c>
      <c r="C906" t="s">
        <v>72</v>
      </c>
      <c r="D906" t="s">
        <v>2749</v>
      </c>
      <c r="E906" t="s">
        <v>2750</v>
      </c>
      <c r="F906">
        <v>316210</v>
      </c>
      <c r="G906" s="35" t="s">
        <v>2702</v>
      </c>
      <c r="H906" s="31" t="s">
        <v>2751</v>
      </c>
      <c r="J906" t="s">
        <v>77</v>
      </c>
      <c r="M906">
        <v>190</v>
      </c>
      <c r="P906" t="s">
        <v>78</v>
      </c>
      <c r="Q906" s="55">
        <v>174.54545454545453</v>
      </c>
      <c r="R906" s="32">
        <v>96</v>
      </c>
      <c r="S906" s="33">
        <v>0.33</v>
      </c>
      <c r="T906" s="34">
        <f t="shared" si="29"/>
        <v>143.28358208955225</v>
      </c>
      <c r="U906" s="34">
        <f t="shared" si="30"/>
        <v>145.07462686567166</v>
      </c>
      <c r="V906" t="s">
        <v>640</v>
      </c>
      <c r="W906" s="32">
        <v>15</v>
      </c>
      <c r="X906" s="32" t="s">
        <v>80</v>
      </c>
      <c r="AD906" s="1">
        <v>884547403148</v>
      </c>
      <c r="AN906">
        <v>30</v>
      </c>
      <c r="AO906" t="s">
        <v>81</v>
      </c>
    </row>
    <row r="907" spans="1:41" ht="90" x14ac:dyDescent="0.25">
      <c r="A907" s="2">
        <v>884547403018</v>
      </c>
      <c r="B907" t="s">
        <v>71</v>
      </c>
      <c r="C907" t="s">
        <v>72</v>
      </c>
      <c r="D907" t="s">
        <v>2752</v>
      </c>
      <c r="E907" t="s">
        <v>2753</v>
      </c>
      <c r="F907">
        <v>316210</v>
      </c>
      <c r="G907" s="35" t="s">
        <v>2702</v>
      </c>
      <c r="H907" s="31" t="s">
        <v>2754</v>
      </c>
      <c r="J907" t="s">
        <v>77</v>
      </c>
      <c r="M907">
        <v>190</v>
      </c>
      <c r="P907" t="s">
        <v>78</v>
      </c>
      <c r="Q907" s="55">
        <v>174.54545454545453</v>
      </c>
      <c r="R907" s="32">
        <v>96</v>
      </c>
      <c r="S907" s="33">
        <v>0.33</v>
      </c>
      <c r="T907" s="34">
        <f t="shared" si="29"/>
        <v>143.28358208955225</v>
      </c>
      <c r="U907" s="34">
        <f t="shared" si="30"/>
        <v>145.07462686567166</v>
      </c>
      <c r="V907" t="s">
        <v>640</v>
      </c>
      <c r="W907" s="32">
        <v>15</v>
      </c>
      <c r="X907" s="32" t="s">
        <v>80</v>
      </c>
      <c r="AD907" s="1">
        <v>884547403018</v>
      </c>
      <c r="AN907">
        <v>30</v>
      </c>
      <c r="AO907" t="s">
        <v>81</v>
      </c>
    </row>
    <row r="908" spans="1:41" ht="90" x14ac:dyDescent="0.25">
      <c r="A908" s="2">
        <v>884547403155</v>
      </c>
      <c r="B908" t="s">
        <v>71</v>
      </c>
      <c r="C908" t="s">
        <v>72</v>
      </c>
      <c r="D908" t="s">
        <v>2755</v>
      </c>
      <c r="E908" t="s">
        <v>2756</v>
      </c>
      <c r="F908">
        <v>316210</v>
      </c>
      <c r="G908" s="35" t="s">
        <v>2702</v>
      </c>
      <c r="H908" s="31" t="s">
        <v>2757</v>
      </c>
      <c r="J908" t="s">
        <v>77</v>
      </c>
      <c r="M908">
        <v>190</v>
      </c>
      <c r="P908" t="s">
        <v>78</v>
      </c>
      <c r="Q908" s="55">
        <v>174.54545454545453</v>
      </c>
      <c r="R908" s="32">
        <v>96</v>
      </c>
      <c r="S908" s="33">
        <v>0.33</v>
      </c>
      <c r="T908" s="34">
        <f t="shared" si="29"/>
        <v>143.28358208955225</v>
      </c>
      <c r="U908" s="34">
        <f t="shared" si="30"/>
        <v>145.07462686567166</v>
      </c>
      <c r="V908" t="s">
        <v>640</v>
      </c>
      <c r="W908" s="32">
        <v>15</v>
      </c>
      <c r="X908" s="32" t="s">
        <v>80</v>
      </c>
      <c r="AD908" s="1">
        <v>884547403155</v>
      </c>
      <c r="AN908">
        <v>30</v>
      </c>
      <c r="AO908" t="s">
        <v>81</v>
      </c>
    </row>
    <row r="909" spans="1:41" ht="90" x14ac:dyDescent="0.25">
      <c r="A909" s="2">
        <v>884547403025</v>
      </c>
      <c r="B909" t="s">
        <v>71</v>
      </c>
      <c r="C909" t="s">
        <v>72</v>
      </c>
      <c r="D909" t="s">
        <v>2758</v>
      </c>
      <c r="E909" t="s">
        <v>2759</v>
      </c>
      <c r="F909">
        <v>316210</v>
      </c>
      <c r="G909" s="35" t="s">
        <v>2702</v>
      </c>
      <c r="H909" s="31" t="s">
        <v>2760</v>
      </c>
      <c r="J909" t="s">
        <v>77</v>
      </c>
      <c r="M909">
        <v>190</v>
      </c>
      <c r="P909" t="s">
        <v>78</v>
      </c>
      <c r="Q909" s="55">
        <v>174.54545454545453</v>
      </c>
      <c r="R909" s="32">
        <v>96</v>
      </c>
      <c r="S909" s="33">
        <v>0.33</v>
      </c>
      <c r="T909" s="34">
        <f t="shared" si="29"/>
        <v>143.28358208955225</v>
      </c>
      <c r="U909" s="34">
        <f t="shared" si="30"/>
        <v>145.07462686567166</v>
      </c>
      <c r="V909" t="s">
        <v>640</v>
      </c>
      <c r="W909" s="32">
        <v>15</v>
      </c>
      <c r="X909" s="32" t="s">
        <v>80</v>
      </c>
      <c r="AD909" s="1">
        <v>884547403025</v>
      </c>
      <c r="AN909">
        <v>30</v>
      </c>
      <c r="AO909" t="s">
        <v>81</v>
      </c>
    </row>
    <row r="910" spans="1:41" ht="90" x14ac:dyDescent="0.25">
      <c r="A910" s="2">
        <v>884547403162</v>
      </c>
      <c r="B910" t="s">
        <v>71</v>
      </c>
      <c r="C910" t="s">
        <v>72</v>
      </c>
      <c r="D910" t="s">
        <v>2761</v>
      </c>
      <c r="E910" t="s">
        <v>2762</v>
      </c>
      <c r="F910">
        <v>316210</v>
      </c>
      <c r="G910" s="35" t="s">
        <v>2702</v>
      </c>
      <c r="H910" s="31" t="s">
        <v>2763</v>
      </c>
      <c r="J910" t="s">
        <v>77</v>
      </c>
      <c r="M910">
        <v>190</v>
      </c>
      <c r="P910" t="s">
        <v>78</v>
      </c>
      <c r="Q910" s="55">
        <v>174.54545454545453</v>
      </c>
      <c r="R910" s="32">
        <v>96</v>
      </c>
      <c r="S910" s="33">
        <v>0.33</v>
      </c>
      <c r="T910" s="34">
        <f t="shared" si="29"/>
        <v>143.28358208955225</v>
      </c>
      <c r="U910" s="34">
        <f t="shared" si="30"/>
        <v>145.07462686567166</v>
      </c>
      <c r="V910" t="s">
        <v>640</v>
      </c>
      <c r="W910" s="32">
        <v>15</v>
      </c>
      <c r="X910" s="32" t="s">
        <v>80</v>
      </c>
      <c r="AD910" s="1">
        <v>884547403162</v>
      </c>
      <c r="AN910">
        <v>30</v>
      </c>
      <c r="AO910" t="s">
        <v>81</v>
      </c>
    </row>
    <row r="911" spans="1:41" ht="90" x14ac:dyDescent="0.25">
      <c r="A911" s="2">
        <v>884547403032</v>
      </c>
      <c r="B911" t="s">
        <v>71</v>
      </c>
      <c r="C911" t="s">
        <v>72</v>
      </c>
      <c r="D911" t="s">
        <v>2764</v>
      </c>
      <c r="E911" t="s">
        <v>2765</v>
      </c>
      <c r="F911">
        <v>316210</v>
      </c>
      <c r="G911" s="35" t="s">
        <v>2702</v>
      </c>
      <c r="H911" s="31" t="s">
        <v>2766</v>
      </c>
      <c r="J911" t="s">
        <v>77</v>
      </c>
      <c r="M911">
        <v>190</v>
      </c>
      <c r="P911" t="s">
        <v>78</v>
      </c>
      <c r="Q911" s="55">
        <v>174.54545454545453</v>
      </c>
      <c r="R911" s="32">
        <v>96</v>
      </c>
      <c r="S911" s="33">
        <v>0.33</v>
      </c>
      <c r="T911" s="34">
        <f t="shared" si="29"/>
        <v>143.28358208955225</v>
      </c>
      <c r="U911" s="34">
        <f t="shared" si="30"/>
        <v>145.07462686567166</v>
      </c>
      <c r="V911" t="s">
        <v>640</v>
      </c>
      <c r="W911" s="32">
        <v>15</v>
      </c>
      <c r="X911" s="32" t="s">
        <v>80</v>
      </c>
      <c r="AD911" s="1">
        <v>884547403032</v>
      </c>
      <c r="AN911">
        <v>30</v>
      </c>
      <c r="AO911" t="s">
        <v>81</v>
      </c>
    </row>
    <row r="912" spans="1:41" ht="90" x14ac:dyDescent="0.25">
      <c r="A912" s="2">
        <v>884547403179</v>
      </c>
      <c r="B912" t="s">
        <v>71</v>
      </c>
      <c r="C912" t="s">
        <v>72</v>
      </c>
      <c r="D912" t="s">
        <v>2767</v>
      </c>
      <c r="E912" t="s">
        <v>2768</v>
      </c>
      <c r="F912">
        <v>316210</v>
      </c>
      <c r="G912" s="35" t="s">
        <v>2702</v>
      </c>
      <c r="H912" s="31" t="s">
        <v>2769</v>
      </c>
      <c r="J912" t="s">
        <v>77</v>
      </c>
      <c r="M912">
        <v>190</v>
      </c>
      <c r="P912" t="s">
        <v>78</v>
      </c>
      <c r="Q912" s="55">
        <v>174.54545454545453</v>
      </c>
      <c r="R912" s="32">
        <v>96</v>
      </c>
      <c r="S912" s="33">
        <v>0.33</v>
      </c>
      <c r="T912" s="34">
        <f t="shared" si="29"/>
        <v>143.28358208955225</v>
      </c>
      <c r="U912" s="34">
        <f t="shared" si="30"/>
        <v>145.07462686567166</v>
      </c>
      <c r="V912" t="s">
        <v>640</v>
      </c>
      <c r="W912" s="32">
        <v>15</v>
      </c>
      <c r="X912" s="32" t="s">
        <v>80</v>
      </c>
      <c r="AD912" s="1">
        <v>884547403179</v>
      </c>
      <c r="AN912">
        <v>30</v>
      </c>
      <c r="AO912" t="s">
        <v>81</v>
      </c>
    </row>
    <row r="913" spans="1:41" ht="90" x14ac:dyDescent="0.25">
      <c r="A913" s="2">
        <v>884547403049</v>
      </c>
      <c r="B913" t="s">
        <v>71</v>
      </c>
      <c r="C913" t="s">
        <v>72</v>
      </c>
      <c r="D913" t="s">
        <v>2770</v>
      </c>
      <c r="E913" t="s">
        <v>2771</v>
      </c>
      <c r="F913">
        <v>316210</v>
      </c>
      <c r="G913" s="35" t="s">
        <v>2702</v>
      </c>
      <c r="H913" s="31" t="s">
        <v>2772</v>
      </c>
      <c r="J913" t="s">
        <v>77</v>
      </c>
      <c r="M913">
        <v>190</v>
      </c>
      <c r="P913" t="s">
        <v>78</v>
      </c>
      <c r="Q913" s="55">
        <v>174.54545454545453</v>
      </c>
      <c r="R913" s="32">
        <v>96</v>
      </c>
      <c r="S913" s="33">
        <v>0.33</v>
      </c>
      <c r="T913" s="34">
        <f t="shared" si="29"/>
        <v>143.28358208955225</v>
      </c>
      <c r="U913" s="34">
        <f t="shared" si="30"/>
        <v>145.07462686567166</v>
      </c>
      <c r="V913" t="s">
        <v>640</v>
      </c>
      <c r="W913" s="32">
        <v>15</v>
      </c>
      <c r="X913" s="32" t="s">
        <v>80</v>
      </c>
      <c r="AD913" s="1">
        <v>884547403049</v>
      </c>
      <c r="AN913">
        <v>30</v>
      </c>
      <c r="AO913" t="s">
        <v>81</v>
      </c>
    </row>
    <row r="914" spans="1:41" ht="90" x14ac:dyDescent="0.25">
      <c r="A914" s="2">
        <v>884547403186</v>
      </c>
      <c r="B914" t="s">
        <v>71</v>
      </c>
      <c r="C914" t="s">
        <v>72</v>
      </c>
      <c r="D914" t="s">
        <v>2773</v>
      </c>
      <c r="E914" t="s">
        <v>2774</v>
      </c>
      <c r="F914">
        <v>316210</v>
      </c>
      <c r="G914" s="35" t="s">
        <v>2702</v>
      </c>
      <c r="H914" s="31" t="s">
        <v>2775</v>
      </c>
      <c r="J914" t="s">
        <v>77</v>
      </c>
      <c r="M914">
        <v>190</v>
      </c>
      <c r="P914" t="s">
        <v>78</v>
      </c>
      <c r="Q914" s="55">
        <v>174.54545454545453</v>
      </c>
      <c r="R914" s="32">
        <v>96</v>
      </c>
      <c r="S914" s="33">
        <v>0.33</v>
      </c>
      <c r="T914" s="34">
        <f t="shared" si="29"/>
        <v>143.28358208955225</v>
      </c>
      <c r="U914" s="34">
        <f t="shared" si="30"/>
        <v>145.07462686567166</v>
      </c>
      <c r="V914" t="s">
        <v>640</v>
      </c>
      <c r="W914" s="32">
        <v>15</v>
      </c>
      <c r="X914" s="32" t="s">
        <v>80</v>
      </c>
      <c r="AD914" s="1">
        <v>884547403186</v>
      </c>
      <c r="AN914">
        <v>30</v>
      </c>
      <c r="AO914" t="s">
        <v>81</v>
      </c>
    </row>
    <row r="915" spans="1:41" ht="90" x14ac:dyDescent="0.25">
      <c r="A915" s="2">
        <v>884547403056</v>
      </c>
      <c r="B915" t="s">
        <v>71</v>
      </c>
      <c r="C915" t="s">
        <v>72</v>
      </c>
      <c r="D915" t="s">
        <v>2776</v>
      </c>
      <c r="E915" t="s">
        <v>2777</v>
      </c>
      <c r="F915">
        <v>316210</v>
      </c>
      <c r="G915" s="35" t="s">
        <v>2702</v>
      </c>
      <c r="H915" s="31" t="s">
        <v>2778</v>
      </c>
      <c r="J915" t="s">
        <v>77</v>
      </c>
      <c r="M915">
        <v>190</v>
      </c>
      <c r="P915" t="s">
        <v>78</v>
      </c>
      <c r="Q915" s="55">
        <v>174.54545454545453</v>
      </c>
      <c r="R915" s="32">
        <v>96</v>
      </c>
      <c r="S915" s="33">
        <v>0.33</v>
      </c>
      <c r="T915" s="34">
        <f t="shared" si="29"/>
        <v>143.28358208955225</v>
      </c>
      <c r="U915" s="34">
        <f t="shared" si="30"/>
        <v>145.07462686567166</v>
      </c>
      <c r="V915" t="s">
        <v>640</v>
      </c>
      <c r="W915" s="32">
        <v>15</v>
      </c>
      <c r="X915" s="32" t="s">
        <v>80</v>
      </c>
      <c r="AD915" s="1">
        <v>884547403056</v>
      </c>
      <c r="AN915">
        <v>30</v>
      </c>
      <c r="AO915" t="s">
        <v>81</v>
      </c>
    </row>
    <row r="916" spans="1:41" ht="90" x14ac:dyDescent="0.25">
      <c r="A916" s="2">
        <v>884547403193</v>
      </c>
      <c r="B916" t="s">
        <v>71</v>
      </c>
      <c r="C916" t="s">
        <v>72</v>
      </c>
      <c r="D916" t="s">
        <v>2779</v>
      </c>
      <c r="E916" t="s">
        <v>2780</v>
      </c>
      <c r="F916">
        <v>316210</v>
      </c>
      <c r="G916" s="35" t="s">
        <v>2702</v>
      </c>
      <c r="H916" s="31" t="s">
        <v>2781</v>
      </c>
      <c r="J916" t="s">
        <v>77</v>
      </c>
      <c r="M916">
        <v>190</v>
      </c>
      <c r="P916" t="s">
        <v>78</v>
      </c>
      <c r="Q916" s="55">
        <v>174.54545454545453</v>
      </c>
      <c r="R916" s="32">
        <v>96</v>
      </c>
      <c r="S916" s="33">
        <v>0.33</v>
      </c>
      <c r="T916" s="34">
        <f t="shared" si="29"/>
        <v>143.28358208955225</v>
      </c>
      <c r="U916" s="34">
        <f t="shared" si="30"/>
        <v>145.07462686567166</v>
      </c>
      <c r="V916" t="s">
        <v>640</v>
      </c>
      <c r="W916" s="32">
        <v>15</v>
      </c>
      <c r="X916" s="32" t="s">
        <v>80</v>
      </c>
      <c r="AD916" s="1">
        <v>884547403193</v>
      </c>
      <c r="AN916">
        <v>30</v>
      </c>
      <c r="AO916" t="s">
        <v>81</v>
      </c>
    </row>
    <row r="917" spans="1:41" ht="90" x14ac:dyDescent="0.25">
      <c r="A917" s="2">
        <v>884547403063</v>
      </c>
      <c r="B917" t="s">
        <v>71</v>
      </c>
      <c r="C917" t="s">
        <v>72</v>
      </c>
      <c r="D917" t="s">
        <v>2782</v>
      </c>
      <c r="E917" t="s">
        <v>2783</v>
      </c>
      <c r="F917">
        <v>316210</v>
      </c>
      <c r="G917" s="35" t="s">
        <v>2702</v>
      </c>
      <c r="H917" s="31" t="s">
        <v>2784</v>
      </c>
      <c r="J917" t="s">
        <v>77</v>
      </c>
      <c r="M917">
        <v>190</v>
      </c>
      <c r="P917" t="s">
        <v>78</v>
      </c>
      <c r="Q917" s="55">
        <v>174.54545454545453</v>
      </c>
      <c r="R917" s="32">
        <v>96</v>
      </c>
      <c r="S917" s="33">
        <v>0.33</v>
      </c>
      <c r="T917" s="34">
        <f t="shared" si="29"/>
        <v>143.28358208955225</v>
      </c>
      <c r="U917" s="34">
        <f t="shared" si="30"/>
        <v>145.07462686567166</v>
      </c>
      <c r="V917" t="s">
        <v>640</v>
      </c>
      <c r="W917" s="32">
        <v>15</v>
      </c>
      <c r="X917" s="32" t="s">
        <v>80</v>
      </c>
      <c r="AD917" s="1">
        <v>884547403063</v>
      </c>
      <c r="AN917">
        <v>30</v>
      </c>
      <c r="AO917" t="s">
        <v>81</v>
      </c>
    </row>
    <row r="918" spans="1:41" ht="90" x14ac:dyDescent="0.25">
      <c r="A918" s="2">
        <v>884547403209</v>
      </c>
      <c r="B918" t="s">
        <v>71</v>
      </c>
      <c r="C918" t="s">
        <v>72</v>
      </c>
      <c r="D918" t="s">
        <v>2785</v>
      </c>
      <c r="E918" t="s">
        <v>2786</v>
      </c>
      <c r="F918">
        <v>316210</v>
      </c>
      <c r="G918" s="35" t="s">
        <v>2702</v>
      </c>
      <c r="H918" s="31" t="s">
        <v>2787</v>
      </c>
      <c r="J918" t="s">
        <v>77</v>
      </c>
      <c r="M918">
        <v>190</v>
      </c>
      <c r="P918" t="s">
        <v>78</v>
      </c>
      <c r="Q918" s="55">
        <v>174.54545454545453</v>
      </c>
      <c r="R918" s="32">
        <v>96</v>
      </c>
      <c r="S918" s="33">
        <v>0.33</v>
      </c>
      <c r="T918" s="34">
        <f t="shared" si="29"/>
        <v>143.28358208955225</v>
      </c>
      <c r="U918" s="34">
        <f t="shared" si="30"/>
        <v>145.07462686567166</v>
      </c>
      <c r="V918" t="s">
        <v>640</v>
      </c>
      <c r="W918" s="32">
        <v>15</v>
      </c>
      <c r="X918" s="32" t="s">
        <v>80</v>
      </c>
      <c r="AD918" s="1">
        <v>884547403209</v>
      </c>
      <c r="AN918">
        <v>30</v>
      </c>
      <c r="AO918" t="s">
        <v>81</v>
      </c>
    </row>
    <row r="919" spans="1:41" ht="90" x14ac:dyDescent="0.25">
      <c r="A919" s="2">
        <v>884547403070</v>
      </c>
      <c r="B919" t="s">
        <v>71</v>
      </c>
      <c r="C919" t="s">
        <v>72</v>
      </c>
      <c r="D919" t="s">
        <v>2788</v>
      </c>
      <c r="E919" t="s">
        <v>2789</v>
      </c>
      <c r="F919">
        <v>316210</v>
      </c>
      <c r="G919" s="35" t="s">
        <v>2702</v>
      </c>
      <c r="H919" s="31" t="s">
        <v>2790</v>
      </c>
      <c r="J919" t="s">
        <v>77</v>
      </c>
      <c r="M919">
        <v>190</v>
      </c>
      <c r="P919" t="s">
        <v>78</v>
      </c>
      <c r="Q919" s="55">
        <v>174.54545454545453</v>
      </c>
      <c r="R919" s="32">
        <v>96</v>
      </c>
      <c r="S919" s="33">
        <v>0.33</v>
      </c>
      <c r="T919" s="34">
        <f t="shared" si="29"/>
        <v>143.28358208955225</v>
      </c>
      <c r="U919" s="34">
        <f t="shared" si="30"/>
        <v>145.07462686567166</v>
      </c>
      <c r="V919" t="s">
        <v>640</v>
      </c>
      <c r="W919" s="32">
        <v>15</v>
      </c>
      <c r="X919" s="32" t="s">
        <v>80</v>
      </c>
      <c r="AD919" s="1">
        <v>884547403070</v>
      </c>
      <c r="AN919">
        <v>30</v>
      </c>
      <c r="AO919" t="s">
        <v>81</v>
      </c>
    </row>
    <row r="920" spans="1:41" ht="90" x14ac:dyDescent="0.25">
      <c r="A920" s="2">
        <v>884547403216</v>
      </c>
      <c r="B920" t="s">
        <v>71</v>
      </c>
      <c r="C920" t="s">
        <v>72</v>
      </c>
      <c r="D920" t="s">
        <v>2791</v>
      </c>
      <c r="E920" t="s">
        <v>2792</v>
      </c>
      <c r="F920">
        <v>316210</v>
      </c>
      <c r="G920" s="35" t="s">
        <v>2702</v>
      </c>
      <c r="H920" s="31" t="s">
        <v>2793</v>
      </c>
      <c r="J920" t="s">
        <v>77</v>
      </c>
      <c r="M920">
        <v>190</v>
      </c>
      <c r="P920" t="s">
        <v>78</v>
      </c>
      <c r="Q920" s="55">
        <v>174.54545454545453</v>
      </c>
      <c r="R920" s="32">
        <v>96</v>
      </c>
      <c r="S920" s="33">
        <v>0.33</v>
      </c>
      <c r="T920" s="34">
        <f t="shared" si="29"/>
        <v>143.28358208955225</v>
      </c>
      <c r="U920" s="34">
        <f t="shared" si="30"/>
        <v>145.07462686567166</v>
      </c>
      <c r="V920" t="s">
        <v>640</v>
      </c>
      <c r="W920" s="32">
        <v>15</v>
      </c>
      <c r="X920" s="32" t="s">
        <v>80</v>
      </c>
      <c r="AD920" s="1">
        <v>884547403216</v>
      </c>
      <c r="AN920">
        <v>30</v>
      </c>
      <c r="AO920" t="s">
        <v>81</v>
      </c>
    </row>
    <row r="921" spans="1:41" ht="90" x14ac:dyDescent="0.25">
      <c r="A921" s="2">
        <v>884547403087</v>
      </c>
      <c r="B921" t="s">
        <v>71</v>
      </c>
      <c r="C921" t="s">
        <v>72</v>
      </c>
      <c r="D921" t="s">
        <v>2794</v>
      </c>
      <c r="E921" t="s">
        <v>2795</v>
      </c>
      <c r="F921">
        <v>316210</v>
      </c>
      <c r="G921" s="35" t="s">
        <v>2702</v>
      </c>
      <c r="H921" s="31" t="s">
        <v>2796</v>
      </c>
      <c r="J921" t="s">
        <v>77</v>
      </c>
      <c r="M921">
        <v>190</v>
      </c>
      <c r="P921" t="s">
        <v>78</v>
      </c>
      <c r="Q921" s="55">
        <v>174.54545454545453</v>
      </c>
      <c r="R921" s="32">
        <v>96</v>
      </c>
      <c r="S921" s="33">
        <v>0.33</v>
      </c>
      <c r="T921" s="34">
        <f t="shared" si="29"/>
        <v>143.28358208955225</v>
      </c>
      <c r="U921" s="34">
        <f t="shared" si="30"/>
        <v>145.07462686567166</v>
      </c>
      <c r="V921" t="s">
        <v>640</v>
      </c>
      <c r="W921" s="32">
        <v>15</v>
      </c>
      <c r="X921" s="32" t="s">
        <v>80</v>
      </c>
      <c r="AD921" s="1">
        <v>884547403087</v>
      </c>
      <c r="AN921">
        <v>30</v>
      </c>
      <c r="AO921" t="s">
        <v>81</v>
      </c>
    </row>
    <row r="922" spans="1:41" ht="90" x14ac:dyDescent="0.25">
      <c r="A922" s="2">
        <v>884547403223</v>
      </c>
      <c r="B922" t="s">
        <v>71</v>
      </c>
      <c r="C922" t="s">
        <v>72</v>
      </c>
      <c r="D922" t="s">
        <v>2797</v>
      </c>
      <c r="E922" t="s">
        <v>2798</v>
      </c>
      <c r="F922">
        <v>316210</v>
      </c>
      <c r="G922" s="35" t="s">
        <v>2702</v>
      </c>
      <c r="H922" s="31" t="s">
        <v>2799</v>
      </c>
      <c r="J922" t="s">
        <v>77</v>
      </c>
      <c r="M922">
        <v>190</v>
      </c>
      <c r="P922" t="s">
        <v>78</v>
      </c>
      <c r="Q922" s="55">
        <v>174.54545454545453</v>
      </c>
      <c r="R922" s="32">
        <v>96</v>
      </c>
      <c r="S922" s="33">
        <v>0.33</v>
      </c>
      <c r="T922" s="34">
        <f t="shared" si="29"/>
        <v>143.28358208955225</v>
      </c>
      <c r="U922" s="34">
        <f t="shared" si="30"/>
        <v>145.07462686567166</v>
      </c>
      <c r="V922" t="s">
        <v>640</v>
      </c>
      <c r="W922" s="32">
        <v>15</v>
      </c>
      <c r="X922" s="32" t="s">
        <v>80</v>
      </c>
      <c r="AD922" s="1">
        <v>884547403223</v>
      </c>
      <c r="AN922">
        <v>30</v>
      </c>
      <c r="AO922" t="s">
        <v>81</v>
      </c>
    </row>
    <row r="923" spans="1:41" ht="90" x14ac:dyDescent="0.25">
      <c r="A923" s="2">
        <v>886129941369</v>
      </c>
      <c r="B923" t="s">
        <v>71</v>
      </c>
      <c r="C923" t="s">
        <v>72</v>
      </c>
      <c r="D923" t="s">
        <v>2800</v>
      </c>
      <c r="E923" t="s">
        <v>2801</v>
      </c>
      <c r="F923">
        <v>316210</v>
      </c>
      <c r="G923" s="35" t="s">
        <v>2702</v>
      </c>
      <c r="H923" s="31" t="s">
        <v>2802</v>
      </c>
      <c r="J923" t="s">
        <v>77</v>
      </c>
      <c r="M923">
        <v>190</v>
      </c>
      <c r="P923" t="s">
        <v>78</v>
      </c>
      <c r="Q923" s="55">
        <v>174.54545454545453</v>
      </c>
      <c r="R923" s="32">
        <v>96</v>
      </c>
      <c r="S923" s="33">
        <v>0.33</v>
      </c>
      <c r="T923" s="34">
        <f t="shared" si="29"/>
        <v>143.28358208955225</v>
      </c>
      <c r="U923" s="34">
        <f t="shared" si="30"/>
        <v>145.07462686567166</v>
      </c>
      <c r="V923" t="s">
        <v>640</v>
      </c>
      <c r="W923" s="32">
        <v>15</v>
      </c>
      <c r="X923" s="32" t="s">
        <v>80</v>
      </c>
      <c r="AD923" s="1">
        <v>886129941369</v>
      </c>
      <c r="AN923">
        <v>30</v>
      </c>
      <c r="AO923" t="s">
        <v>81</v>
      </c>
    </row>
    <row r="924" spans="1:41" ht="90" x14ac:dyDescent="0.25">
      <c r="A924" s="2">
        <v>886129941345</v>
      </c>
      <c r="B924" t="s">
        <v>71</v>
      </c>
      <c r="C924" t="s">
        <v>72</v>
      </c>
      <c r="D924" t="s">
        <v>2803</v>
      </c>
      <c r="E924" t="s">
        <v>2804</v>
      </c>
      <c r="F924">
        <v>316210</v>
      </c>
      <c r="G924" s="35" t="s">
        <v>2702</v>
      </c>
      <c r="H924" s="31" t="s">
        <v>2805</v>
      </c>
      <c r="J924" t="s">
        <v>77</v>
      </c>
      <c r="M924">
        <v>190</v>
      </c>
      <c r="P924" t="s">
        <v>78</v>
      </c>
      <c r="Q924" s="55">
        <v>174.54545454545453</v>
      </c>
      <c r="R924" s="32">
        <v>96</v>
      </c>
      <c r="S924" s="33">
        <v>0.33</v>
      </c>
      <c r="T924" s="34">
        <f t="shared" si="29"/>
        <v>143.28358208955225</v>
      </c>
      <c r="U924" s="34">
        <f t="shared" si="30"/>
        <v>145.07462686567166</v>
      </c>
      <c r="V924" t="s">
        <v>640</v>
      </c>
      <c r="W924" s="32">
        <v>15</v>
      </c>
      <c r="X924" s="32" t="s">
        <v>80</v>
      </c>
      <c r="AD924" s="1">
        <v>886129941345</v>
      </c>
      <c r="AN924">
        <v>30</v>
      </c>
      <c r="AO924" t="s">
        <v>81</v>
      </c>
    </row>
    <row r="925" spans="1:41" ht="90" x14ac:dyDescent="0.25">
      <c r="A925" s="2">
        <v>194917460894</v>
      </c>
      <c r="B925" t="s">
        <v>71</v>
      </c>
      <c r="C925" t="s">
        <v>72</v>
      </c>
      <c r="D925" t="s">
        <v>2806</v>
      </c>
      <c r="E925" t="s">
        <v>2807</v>
      </c>
      <c r="F925">
        <v>316210</v>
      </c>
      <c r="G925" s="35" t="s">
        <v>2808</v>
      </c>
      <c r="H925" s="31" t="s">
        <v>2809</v>
      </c>
      <c r="J925" t="s">
        <v>77</v>
      </c>
      <c r="M925">
        <v>120</v>
      </c>
      <c r="P925" t="s">
        <v>78</v>
      </c>
      <c r="Q925" s="55">
        <v>107.27272727272727</v>
      </c>
      <c r="R925" s="32">
        <v>59</v>
      </c>
      <c r="S925" s="33">
        <v>0.33</v>
      </c>
      <c r="T925" s="34">
        <f t="shared" si="29"/>
        <v>88.059701492537329</v>
      </c>
      <c r="U925" s="34">
        <f t="shared" si="30"/>
        <v>89.160447761194035</v>
      </c>
      <c r="V925" t="s">
        <v>79</v>
      </c>
      <c r="W925" s="32">
        <v>15</v>
      </c>
      <c r="X925" s="32" t="s">
        <v>80</v>
      </c>
      <c r="AD925" s="1">
        <v>194917460894</v>
      </c>
      <c r="AN925">
        <v>30</v>
      </c>
      <c r="AO925" t="s">
        <v>81</v>
      </c>
    </row>
    <row r="926" spans="1:41" ht="90" x14ac:dyDescent="0.25">
      <c r="A926" s="2">
        <v>194917461006</v>
      </c>
      <c r="B926" t="s">
        <v>71</v>
      </c>
      <c r="C926" t="s">
        <v>72</v>
      </c>
      <c r="D926" t="s">
        <v>2810</v>
      </c>
      <c r="E926" t="s">
        <v>2811</v>
      </c>
      <c r="F926">
        <v>316210</v>
      </c>
      <c r="G926" s="35" t="s">
        <v>2808</v>
      </c>
      <c r="H926" s="31" t="s">
        <v>2812</v>
      </c>
      <c r="J926" t="s">
        <v>77</v>
      </c>
      <c r="M926">
        <v>120</v>
      </c>
      <c r="P926" t="s">
        <v>78</v>
      </c>
      <c r="Q926" s="55">
        <v>107.27272727272727</v>
      </c>
      <c r="R926" s="32">
        <v>59</v>
      </c>
      <c r="S926" s="33">
        <v>0.33</v>
      </c>
      <c r="T926" s="34">
        <f t="shared" si="29"/>
        <v>88.059701492537329</v>
      </c>
      <c r="U926" s="34">
        <f t="shared" si="30"/>
        <v>89.160447761194035</v>
      </c>
      <c r="V926" t="s">
        <v>79</v>
      </c>
      <c r="W926" s="32">
        <v>15</v>
      </c>
      <c r="X926" s="32" t="s">
        <v>80</v>
      </c>
      <c r="AD926" s="1">
        <v>194917461006</v>
      </c>
      <c r="AN926">
        <v>30</v>
      </c>
      <c r="AO926" t="s">
        <v>81</v>
      </c>
    </row>
    <row r="927" spans="1:41" ht="90" x14ac:dyDescent="0.25">
      <c r="A927" s="2">
        <v>194917460900</v>
      </c>
      <c r="B927" t="s">
        <v>71</v>
      </c>
      <c r="C927" t="s">
        <v>72</v>
      </c>
      <c r="D927" t="s">
        <v>2813</v>
      </c>
      <c r="E927" t="s">
        <v>2814</v>
      </c>
      <c r="F927">
        <v>316210</v>
      </c>
      <c r="G927" s="35" t="s">
        <v>2808</v>
      </c>
      <c r="H927" s="31" t="s">
        <v>2815</v>
      </c>
      <c r="J927" t="s">
        <v>77</v>
      </c>
      <c r="M927">
        <v>120</v>
      </c>
      <c r="P927" t="s">
        <v>78</v>
      </c>
      <c r="Q927" s="55">
        <v>107.27272727272727</v>
      </c>
      <c r="R927" s="32">
        <v>59</v>
      </c>
      <c r="S927" s="33">
        <v>0.33</v>
      </c>
      <c r="T927" s="34">
        <f t="shared" si="29"/>
        <v>88.059701492537329</v>
      </c>
      <c r="U927" s="34">
        <f t="shared" si="30"/>
        <v>89.160447761194035</v>
      </c>
      <c r="V927" t="s">
        <v>79</v>
      </c>
      <c r="W927" s="32">
        <v>15</v>
      </c>
      <c r="X927" s="32" t="s">
        <v>80</v>
      </c>
      <c r="AD927" s="1">
        <v>194917460900</v>
      </c>
      <c r="AN927">
        <v>30</v>
      </c>
      <c r="AO927" t="s">
        <v>81</v>
      </c>
    </row>
    <row r="928" spans="1:41" ht="90" x14ac:dyDescent="0.25">
      <c r="A928" s="2">
        <v>194917461013</v>
      </c>
      <c r="B928" t="s">
        <v>71</v>
      </c>
      <c r="C928" t="s">
        <v>72</v>
      </c>
      <c r="D928" t="s">
        <v>2816</v>
      </c>
      <c r="E928" t="s">
        <v>2817</v>
      </c>
      <c r="F928">
        <v>316210</v>
      </c>
      <c r="G928" s="35" t="s">
        <v>2808</v>
      </c>
      <c r="H928" s="31" t="s">
        <v>2818</v>
      </c>
      <c r="J928" t="s">
        <v>77</v>
      </c>
      <c r="M928">
        <v>120</v>
      </c>
      <c r="P928" t="s">
        <v>78</v>
      </c>
      <c r="Q928" s="55">
        <v>107.27272727272727</v>
      </c>
      <c r="R928" s="32">
        <v>59</v>
      </c>
      <c r="S928" s="33">
        <v>0.33</v>
      </c>
      <c r="T928" s="34">
        <f t="shared" si="29"/>
        <v>88.059701492537329</v>
      </c>
      <c r="U928" s="34">
        <f t="shared" si="30"/>
        <v>89.160447761194035</v>
      </c>
      <c r="V928" t="s">
        <v>79</v>
      </c>
      <c r="W928" s="32">
        <v>15</v>
      </c>
      <c r="X928" s="32" t="s">
        <v>80</v>
      </c>
      <c r="AD928" s="1">
        <v>194917461013</v>
      </c>
      <c r="AN928">
        <v>30</v>
      </c>
      <c r="AO928" t="s">
        <v>81</v>
      </c>
    </row>
    <row r="929" spans="1:41" ht="90" x14ac:dyDescent="0.25">
      <c r="A929" s="2">
        <v>194917460917</v>
      </c>
      <c r="B929" t="s">
        <v>71</v>
      </c>
      <c r="C929" t="s">
        <v>72</v>
      </c>
      <c r="D929" t="s">
        <v>2819</v>
      </c>
      <c r="E929" t="s">
        <v>2820</v>
      </c>
      <c r="F929">
        <v>316210</v>
      </c>
      <c r="G929" s="35" t="s">
        <v>2808</v>
      </c>
      <c r="H929" s="31" t="s">
        <v>2821</v>
      </c>
      <c r="J929" t="s">
        <v>77</v>
      </c>
      <c r="M929">
        <v>120</v>
      </c>
      <c r="P929" t="s">
        <v>78</v>
      </c>
      <c r="Q929" s="55">
        <v>107.27272727272727</v>
      </c>
      <c r="R929" s="32">
        <v>59</v>
      </c>
      <c r="S929" s="33">
        <v>0.33</v>
      </c>
      <c r="T929" s="34">
        <f t="shared" si="29"/>
        <v>88.059701492537329</v>
      </c>
      <c r="U929" s="34">
        <f t="shared" si="30"/>
        <v>89.160447761194035</v>
      </c>
      <c r="V929" t="s">
        <v>79</v>
      </c>
      <c r="W929" s="32">
        <v>15</v>
      </c>
      <c r="X929" s="32" t="s">
        <v>80</v>
      </c>
      <c r="AD929" s="1">
        <v>194917460917</v>
      </c>
      <c r="AN929">
        <v>30</v>
      </c>
      <c r="AO929" t="s">
        <v>81</v>
      </c>
    </row>
    <row r="930" spans="1:41" ht="90" x14ac:dyDescent="0.25">
      <c r="A930" s="2">
        <v>194917461020</v>
      </c>
      <c r="B930" t="s">
        <v>71</v>
      </c>
      <c r="C930" t="s">
        <v>72</v>
      </c>
      <c r="D930" t="s">
        <v>2822</v>
      </c>
      <c r="E930" t="s">
        <v>2823</v>
      </c>
      <c r="F930">
        <v>316210</v>
      </c>
      <c r="G930" s="35" t="s">
        <v>2808</v>
      </c>
      <c r="H930" s="31" t="s">
        <v>2824</v>
      </c>
      <c r="J930" t="s">
        <v>77</v>
      </c>
      <c r="M930">
        <v>120</v>
      </c>
      <c r="P930" t="s">
        <v>78</v>
      </c>
      <c r="Q930" s="55">
        <v>107.27272727272727</v>
      </c>
      <c r="R930" s="32">
        <v>59</v>
      </c>
      <c r="S930" s="33">
        <v>0.33</v>
      </c>
      <c r="T930" s="34">
        <f t="shared" si="29"/>
        <v>88.059701492537329</v>
      </c>
      <c r="U930" s="34">
        <f t="shared" si="30"/>
        <v>89.160447761194035</v>
      </c>
      <c r="V930" t="s">
        <v>79</v>
      </c>
      <c r="W930" s="32">
        <v>15</v>
      </c>
      <c r="X930" s="32" t="s">
        <v>80</v>
      </c>
      <c r="AD930" s="1">
        <v>194917461020</v>
      </c>
      <c r="AN930">
        <v>30</v>
      </c>
      <c r="AO930" t="s">
        <v>81</v>
      </c>
    </row>
    <row r="931" spans="1:41" ht="90" x14ac:dyDescent="0.25">
      <c r="A931" s="2">
        <v>194917460924</v>
      </c>
      <c r="B931" t="s">
        <v>71</v>
      </c>
      <c r="C931" t="s">
        <v>72</v>
      </c>
      <c r="D931" t="s">
        <v>2825</v>
      </c>
      <c r="E931" t="s">
        <v>2826</v>
      </c>
      <c r="F931">
        <v>316210</v>
      </c>
      <c r="G931" s="35" t="s">
        <v>2808</v>
      </c>
      <c r="H931" s="31" t="s">
        <v>2827</v>
      </c>
      <c r="J931" t="s">
        <v>77</v>
      </c>
      <c r="M931">
        <v>120</v>
      </c>
      <c r="P931" t="s">
        <v>78</v>
      </c>
      <c r="Q931" s="55">
        <v>107.27272727272727</v>
      </c>
      <c r="R931" s="32">
        <v>59</v>
      </c>
      <c r="S931" s="33">
        <v>0.33</v>
      </c>
      <c r="T931" s="34">
        <f t="shared" si="29"/>
        <v>88.059701492537329</v>
      </c>
      <c r="U931" s="34">
        <f t="shared" si="30"/>
        <v>89.160447761194035</v>
      </c>
      <c r="V931" t="s">
        <v>79</v>
      </c>
      <c r="W931" s="32">
        <v>15</v>
      </c>
      <c r="X931" s="32" t="s">
        <v>80</v>
      </c>
      <c r="AD931" s="1">
        <v>194917460924</v>
      </c>
      <c r="AN931">
        <v>30</v>
      </c>
      <c r="AO931" t="s">
        <v>81</v>
      </c>
    </row>
    <row r="932" spans="1:41" ht="90" x14ac:dyDescent="0.25">
      <c r="A932" s="2">
        <v>194917461037</v>
      </c>
      <c r="B932" t="s">
        <v>71</v>
      </c>
      <c r="C932" t="s">
        <v>72</v>
      </c>
      <c r="D932" t="s">
        <v>2828</v>
      </c>
      <c r="E932" t="s">
        <v>2829</v>
      </c>
      <c r="F932">
        <v>316210</v>
      </c>
      <c r="G932" s="35" t="s">
        <v>2808</v>
      </c>
      <c r="H932" s="31" t="s">
        <v>2830</v>
      </c>
      <c r="J932" t="s">
        <v>77</v>
      </c>
      <c r="M932">
        <v>120</v>
      </c>
      <c r="P932" t="s">
        <v>78</v>
      </c>
      <c r="Q932" s="55">
        <v>107.27272727272727</v>
      </c>
      <c r="R932" s="32">
        <v>59</v>
      </c>
      <c r="S932" s="33">
        <v>0.33</v>
      </c>
      <c r="T932" s="34">
        <f t="shared" si="29"/>
        <v>88.059701492537329</v>
      </c>
      <c r="U932" s="34">
        <f t="shared" si="30"/>
        <v>89.160447761194035</v>
      </c>
      <c r="V932" t="s">
        <v>79</v>
      </c>
      <c r="W932" s="32">
        <v>15</v>
      </c>
      <c r="X932" s="32" t="s">
        <v>80</v>
      </c>
      <c r="AD932" s="1">
        <v>194917461037</v>
      </c>
      <c r="AN932">
        <v>30</v>
      </c>
      <c r="AO932" t="s">
        <v>81</v>
      </c>
    </row>
    <row r="933" spans="1:41" ht="90" x14ac:dyDescent="0.25">
      <c r="A933" s="2">
        <v>194917460931</v>
      </c>
      <c r="B933" t="s">
        <v>71</v>
      </c>
      <c r="C933" t="s">
        <v>72</v>
      </c>
      <c r="D933" t="s">
        <v>2831</v>
      </c>
      <c r="E933" t="s">
        <v>2832</v>
      </c>
      <c r="F933">
        <v>316210</v>
      </c>
      <c r="G933" s="35" t="s">
        <v>2808</v>
      </c>
      <c r="H933" s="31" t="s">
        <v>2833</v>
      </c>
      <c r="J933" t="s">
        <v>77</v>
      </c>
      <c r="M933">
        <v>120</v>
      </c>
      <c r="P933" t="s">
        <v>78</v>
      </c>
      <c r="Q933" s="55">
        <v>107.27272727272727</v>
      </c>
      <c r="R933" s="32">
        <v>59</v>
      </c>
      <c r="S933" s="33">
        <v>0.33</v>
      </c>
      <c r="T933" s="34">
        <f t="shared" si="29"/>
        <v>88.059701492537329</v>
      </c>
      <c r="U933" s="34">
        <f t="shared" si="30"/>
        <v>89.160447761194035</v>
      </c>
      <c r="V933" t="s">
        <v>79</v>
      </c>
      <c r="W933" s="32">
        <v>15</v>
      </c>
      <c r="X933" s="32" t="s">
        <v>80</v>
      </c>
      <c r="AD933" s="1">
        <v>194917460931</v>
      </c>
      <c r="AN933">
        <v>30</v>
      </c>
      <c r="AO933" t="s">
        <v>81</v>
      </c>
    </row>
    <row r="934" spans="1:41" ht="90" x14ac:dyDescent="0.25">
      <c r="A934" s="2">
        <v>194917461044</v>
      </c>
      <c r="B934" t="s">
        <v>71</v>
      </c>
      <c r="C934" t="s">
        <v>72</v>
      </c>
      <c r="D934" t="s">
        <v>2834</v>
      </c>
      <c r="E934" t="s">
        <v>2835</v>
      </c>
      <c r="F934">
        <v>316210</v>
      </c>
      <c r="G934" s="35" t="s">
        <v>2808</v>
      </c>
      <c r="H934" s="31" t="s">
        <v>2836</v>
      </c>
      <c r="J934" t="s">
        <v>77</v>
      </c>
      <c r="M934">
        <v>120</v>
      </c>
      <c r="P934" t="s">
        <v>78</v>
      </c>
      <c r="Q934" s="55">
        <v>107.27272727272727</v>
      </c>
      <c r="R934" s="32">
        <v>59</v>
      </c>
      <c r="S934" s="33">
        <v>0.33</v>
      </c>
      <c r="T934" s="34">
        <f t="shared" si="29"/>
        <v>88.059701492537329</v>
      </c>
      <c r="U934" s="34">
        <f t="shared" si="30"/>
        <v>89.160447761194035</v>
      </c>
      <c r="V934" t="s">
        <v>79</v>
      </c>
      <c r="W934" s="32">
        <v>15</v>
      </c>
      <c r="X934" s="32" t="s">
        <v>80</v>
      </c>
      <c r="AD934" s="1">
        <v>194917461044</v>
      </c>
      <c r="AN934">
        <v>30</v>
      </c>
      <c r="AO934" t="s">
        <v>81</v>
      </c>
    </row>
    <row r="935" spans="1:41" ht="90" x14ac:dyDescent="0.25">
      <c r="A935" s="2">
        <v>194917460948</v>
      </c>
      <c r="B935" t="s">
        <v>71</v>
      </c>
      <c r="C935" t="s">
        <v>72</v>
      </c>
      <c r="D935" t="s">
        <v>2837</v>
      </c>
      <c r="E935" t="s">
        <v>2838</v>
      </c>
      <c r="F935">
        <v>316210</v>
      </c>
      <c r="G935" s="35" t="s">
        <v>2808</v>
      </c>
      <c r="H935" s="31" t="s">
        <v>2839</v>
      </c>
      <c r="J935" t="s">
        <v>77</v>
      </c>
      <c r="M935">
        <v>120</v>
      </c>
      <c r="P935" t="s">
        <v>78</v>
      </c>
      <c r="Q935" s="55">
        <v>107.27272727272727</v>
      </c>
      <c r="R935" s="32">
        <v>59</v>
      </c>
      <c r="S935" s="33">
        <v>0.33</v>
      </c>
      <c r="T935" s="34">
        <f t="shared" si="29"/>
        <v>88.059701492537329</v>
      </c>
      <c r="U935" s="34">
        <f t="shared" si="30"/>
        <v>89.160447761194035</v>
      </c>
      <c r="V935" t="s">
        <v>79</v>
      </c>
      <c r="W935" s="32">
        <v>15</v>
      </c>
      <c r="X935" s="32" t="s">
        <v>80</v>
      </c>
      <c r="AD935" s="1">
        <v>194917460948</v>
      </c>
      <c r="AN935">
        <v>30</v>
      </c>
      <c r="AO935" t="s">
        <v>81</v>
      </c>
    </row>
    <row r="936" spans="1:41" ht="90" x14ac:dyDescent="0.25">
      <c r="A936" s="2">
        <v>194917461051</v>
      </c>
      <c r="B936" t="s">
        <v>71</v>
      </c>
      <c r="C936" t="s">
        <v>72</v>
      </c>
      <c r="D936" t="s">
        <v>2840</v>
      </c>
      <c r="E936" t="s">
        <v>2841</v>
      </c>
      <c r="F936">
        <v>316210</v>
      </c>
      <c r="G936" s="35" t="s">
        <v>2808</v>
      </c>
      <c r="H936" s="31" t="s">
        <v>2842</v>
      </c>
      <c r="J936" t="s">
        <v>77</v>
      </c>
      <c r="M936">
        <v>120</v>
      </c>
      <c r="P936" t="s">
        <v>78</v>
      </c>
      <c r="Q936" s="55">
        <v>107.27272727272727</v>
      </c>
      <c r="R936" s="32">
        <v>59</v>
      </c>
      <c r="S936" s="33">
        <v>0.33</v>
      </c>
      <c r="T936" s="34">
        <f t="shared" si="29"/>
        <v>88.059701492537329</v>
      </c>
      <c r="U936" s="34">
        <f t="shared" si="30"/>
        <v>89.160447761194035</v>
      </c>
      <c r="V936" t="s">
        <v>79</v>
      </c>
      <c r="W936" s="32">
        <v>15</v>
      </c>
      <c r="X936" s="32" t="s">
        <v>80</v>
      </c>
      <c r="AD936" s="1">
        <v>194917461051</v>
      </c>
      <c r="AN936">
        <v>30</v>
      </c>
      <c r="AO936" t="s">
        <v>81</v>
      </c>
    </row>
    <row r="937" spans="1:41" ht="90" x14ac:dyDescent="0.25">
      <c r="A937" s="2">
        <v>194917460955</v>
      </c>
      <c r="B937" t="s">
        <v>71</v>
      </c>
      <c r="C937" t="s">
        <v>72</v>
      </c>
      <c r="D937" t="s">
        <v>2843</v>
      </c>
      <c r="E937" t="s">
        <v>2844</v>
      </c>
      <c r="F937">
        <v>316210</v>
      </c>
      <c r="G937" s="35" t="s">
        <v>2808</v>
      </c>
      <c r="H937" s="31" t="s">
        <v>2845</v>
      </c>
      <c r="J937" t="s">
        <v>77</v>
      </c>
      <c r="M937">
        <v>120</v>
      </c>
      <c r="P937" t="s">
        <v>78</v>
      </c>
      <c r="Q937" s="55">
        <v>107.27272727272727</v>
      </c>
      <c r="R937" s="32">
        <v>59</v>
      </c>
      <c r="S937" s="33">
        <v>0.33</v>
      </c>
      <c r="T937" s="34">
        <f t="shared" si="29"/>
        <v>88.059701492537329</v>
      </c>
      <c r="U937" s="34">
        <f t="shared" si="30"/>
        <v>89.160447761194035</v>
      </c>
      <c r="V937" t="s">
        <v>79</v>
      </c>
      <c r="W937" s="32">
        <v>15</v>
      </c>
      <c r="X937" s="32" t="s">
        <v>80</v>
      </c>
      <c r="AD937" s="1">
        <v>194917460955</v>
      </c>
      <c r="AN937">
        <v>30</v>
      </c>
      <c r="AO937" t="s">
        <v>81</v>
      </c>
    </row>
    <row r="938" spans="1:41" ht="90" x14ac:dyDescent="0.25">
      <c r="A938" s="2">
        <v>194917461068</v>
      </c>
      <c r="B938" t="s">
        <v>71</v>
      </c>
      <c r="C938" t="s">
        <v>72</v>
      </c>
      <c r="D938" t="s">
        <v>2846</v>
      </c>
      <c r="E938" t="s">
        <v>2847</v>
      </c>
      <c r="F938">
        <v>316210</v>
      </c>
      <c r="G938" s="35" t="s">
        <v>2808</v>
      </c>
      <c r="H938" s="31" t="s">
        <v>2848</v>
      </c>
      <c r="J938" t="s">
        <v>77</v>
      </c>
      <c r="M938">
        <v>120</v>
      </c>
      <c r="P938" t="s">
        <v>78</v>
      </c>
      <c r="Q938" s="55">
        <v>107.27272727272727</v>
      </c>
      <c r="R938" s="32">
        <v>59</v>
      </c>
      <c r="S938" s="33">
        <v>0.33</v>
      </c>
      <c r="T938" s="34">
        <f t="shared" si="29"/>
        <v>88.059701492537329</v>
      </c>
      <c r="U938" s="34">
        <f t="shared" si="30"/>
        <v>89.160447761194035</v>
      </c>
      <c r="V938" t="s">
        <v>79</v>
      </c>
      <c r="W938" s="32">
        <v>15</v>
      </c>
      <c r="X938" s="32" t="s">
        <v>80</v>
      </c>
      <c r="AD938" s="1">
        <v>194917461068</v>
      </c>
      <c r="AN938">
        <v>30</v>
      </c>
      <c r="AO938" t="s">
        <v>81</v>
      </c>
    </row>
    <row r="939" spans="1:41" ht="90" x14ac:dyDescent="0.25">
      <c r="A939" s="2">
        <v>194917460962</v>
      </c>
      <c r="B939" t="s">
        <v>71</v>
      </c>
      <c r="C939" t="s">
        <v>72</v>
      </c>
      <c r="D939" t="s">
        <v>2849</v>
      </c>
      <c r="E939" t="s">
        <v>2850</v>
      </c>
      <c r="F939">
        <v>316210</v>
      </c>
      <c r="G939" s="35" t="s">
        <v>2808</v>
      </c>
      <c r="H939" s="31" t="s">
        <v>2851</v>
      </c>
      <c r="J939" t="s">
        <v>77</v>
      </c>
      <c r="M939">
        <v>120</v>
      </c>
      <c r="P939" t="s">
        <v>78</v>
      </c>
      <c r="Q939" s="55">
        <v>107.27272727272727</v>
      </c>
      <c r="R939" s="32">
        <v>59</v>
      </c>
      <c r="S939" s="33">
        <v>0.33</v>
      </c>
      <c r="T939" s="34">
        <f t="shared" si="29"/>
        <v>88.059701492537329</v>
      </c>
      <c r="U939" s="34">
        <f t="shared" si="30"/>
        <v>89.160447761194035</v>
      </c>
      <c r="V939" t="s">
        <v>79</v>
      </c>
      <c r="W939" s="32">
        <v>15</v>
      </c>
      <c r="X939" s="32" t="s">
        <v>80</v>
      </c>
      <c r="AD939" s="1">
        <v>194917460962</v>
      </c>
      <c r="AN939">
        <v>30</v>
      </c>
      <c r="AO939" t="s">
        <v>81</v>
      </c>
    </row>
    <row r="940" spans="1:41" ht="90" x14ac:dyDescent="0.25">
      <c r="A940" s="2">
        <v>194917461075</v>
      </c>
      <c r="B940" t="s">
        <v>71</v>
      </c>
      <c r="C940" t="s">
        <v>72</v>
      </c>
      <c r="D940" t="s">
        <v>2852</v>
      </c>
      <c r="E940" t="s">
        <v>2853</v>
      </c>
      <c r="F940">
        <v>316210</v>
      </c>
      <c r="G940" s="35" t="s">
        <v>2808</v>
      </c>
      <c r="H940" s="31" t="s">
        <v>2854</v>
      </c>
      <c r="J940" t="s">
        <v>77</v>
      </c>
      <c r="M940">
        <v>120</v>
      </c>
      <c r="P940" t="s">
        <v>78</v>
      </c>
      <c r="Q940" s="55">
        <v>107.27272727272727</v>
      </c>
      <c r="R940" s="32">
        <v>59</v>
      </c>
      <c r="S940" s="33">
        <v>0.33</v>
      </c>
      <c r="T940" s="34">
        <f t="shared" si="29"/>
        <v>88.059701492537329</v>
      </c>
      <c r="U940" s="34">
        <f t="shared" si="30"/>
        <v>89.160447761194035</v>
      </c>
      <c r="V940" t="s">
        <v>79</v>
      </c>
      <c r="W940" s="32">
        <v>15</v>
      </c>
      <c r="X940" s="32" t="s">
        <v>80</v>
      </c>
      <c r="AD940" s="1">
        <v>194917461075</v>
      </c>
      <c r="AN940">
        <v>30</v>
      </c>
      <c r="AO940" t="s">
        <v>81</v>
      </c>
    </row>
    <row r="941" spans="1:41" ht="90" x14ac:dyDescent="0.25">
      <c r="A941" s="2">
        <v>194917460979</v>
      </c>
      <c r="B941" t="s">
        <v>71</v>
      </c>
      <c r="C941" t="s">
        <v>72</v>
      </c>
      <c r="D941" t="s">
        <v>2855</v>
      </c>
      <c r="E941" t="s">
        <v>2856</v>
      </c>
      <c r="F941">
        <v>316210</v>
      </c>
      <c r="G941" s="35" t="s">
        <v>2808</v>
      </c>
      <c r="H941" s="31" t="s">
        <v>2857</v>
      </c>
      <c r="J941" t="s">
        <v>77</v>
      </c>
      <c r="M941">
        <v>120</v>
      </c>
      <c r="P941" t="s">
        <v>78</v>
      </c>
      <c r="Q941" s="55">
        <v>107.27272727272727</v>
      </c>
      <c r="R941" s="32">
        <v>59</v>
      </c>
      <c r="S941" s="33">
        <v>0.33</v>
      </c>
      <c r="T941" s="34">
        <f t="shared" si="29"/>
        <v>88.059701492537329</v>
      </c>
      <c r="U941" s="34">
        <f t="shared" si="30"/>
        <v>89.160447761194035</v>
      </c>
      <c r="V941" t="s">
        <v>79</v>
      </c>
      <c r="W941" s="32">
        <v>15</v>
      </c>
      <c r="X941" s="32" t="s">
        <v>80</v>
      </c>
      <c r="AD941" s="1">
        <v>194917460979</v>
      </c>
      <c r="AN941">
        <v>30</v>
      </c>
      <c r="AO941" t="s">
        <v>81</v>
      </c>
    </row>
    <row r="942" spans="1:41" ht="90" x14ac:dyDescent="0.25">
      <c r="A942" s="2">
        <v>194917461082</v>
      </c>
      <c r="B942" t="s">
        <v>71</v>
      </c>
      <c r="C942" t="s">
        <v>72</v>
      </c>
      <c r="D942" t="s">
        <v>2858</v>
      </c>
      <c r="E942" t="s">
        <v>2859</v>
      </c>
      <c r="F942">
        <v>316210</v>
      </c>
      <c r="G942" s="35" t="s">
        <v>2808</v>
      </c>
      <c r="H942" s="31" t="s">
        <v>2860</v>
      </c>
      <c r="J942" t="s">
        <v>77</v>
      </c>
      <c r="M942">
        <v>120</v>
      </c>
      <c r="P942" t="s">
        <v>78</v>
      </c>
      <c r="Q942" s="55">
        <v>107.27272727272727</v>
      </c>
      <c r="R942" s="32">
        <v>59</v>
      </c>
      <c r="S942" s="33">
        <v>0.33</v>
      </c>
      <c r="T942" s="34">
        <f t="shared" si="29"/>
        <v>88.059701492537329</v>
      </c>
      <c r="U942" s="34">
        <f t="shared" si="30"/>
        <v>89.160447761194035</v>
      </c>
      <c r="V942" t="s">
        <v>79</v>
      </c>
      <c r="W942" s="32">
        <v>15</v>
      </c>
      <c r="X942" s="32" t="s">
        <v>80</v>
      </c>
      <c r="AD942" s="1">
        <v>194917461082</v>
      </c>
      <c r="AN942">
        <v>30</v>
      </c>
      <c r="AO942" t="s">
        <v>81</v>
      </c>
    </row>
    <row r="943" spans="1:41" ht="90" x14ac:dyDescent="0.25">
      <c r="A943" s="2">
        <v>194917460986</v>
      </c>
      <c r="B943" t="s">
        <v>71</v>
      </c>
      <c r="C943" t="s">
        <v>72</v>
      </c>
      <c r="D943" t="s">
        <v>2861</v>
      </c>
      <c r="E943" t="s">
        <v>2862</v>
      </c>
      <c r="F943">
        <v>316210</v>
      </c>
      <c r="G943" s="35" t="s">
        <v>2808</v>
      </c>
      <c r="H943" s="31" t="s">
        <v>2863</v>
      </c>
      <c r="J943" t="s">
        <v>77</v>
      </c>
      <c r="M943">
        <v>120</v>
      </c>
      <c r="P943" t="s">
        <v>78</v>
      </c>
      <c r="Q943" s="55">
        <v>107.27272727272727</v>
      </c>
      <c r="R943" s="32">
        <v>59</v>
      </c>
      <c r="S943" s="33">
        <v>0.33</v>
      </c>
      <c r="T943" s="34">
        <f t="shared" si="29"/>
        <v>88.059701492537329</v>
      </c>
      <c r="U943" s="34">
        <f t="shared" si="30"/>
        <v>89.160447761194035</v>
      </c>
      <c r="V943" t="s">
        <v>79</v>
      </c>
      <c r="W943" s="32">
        <v>15</v>
      </c>
      <c r="X943" s="32" t="s">
        <v>80</v>
      </c>
      <c r="AD943" s="1">
        <v>194917460986</v>
      </c>
      <c r="AN943">
        <v>30</v>
      </c>
      <c r="AO943" t="s">
        <v>81</v>
      </c>
    </row>
    <row r="944" spans="1:41" ht="90" x14ac:dyDescent="0.25">
      <c r="A944" s="2">
        <v>194917461099</v>
      </c>
      <c r="B944" t="s">
        <v>71</v>
      </c>
      <c r="C944" t="s">
        <v>72</v>
      </c>
      <c r="D944" t="s">
        <v>2864</v>
      </c>
      <c r="E944" t="s">
        <v>2865</v>
      </c>
      <c r="F944">
        <v>316210</v>
      </c>
      <c r="G944" s="35" t="s">
        <v>2808</v>
      </c>
      <c r="H944" s="31" t="s">
        <v>2866</v>
      </c>
      <c r="J944" t="s">
        <v>77</v>
      </c>
      <c r="M944">
        <v>120</v>
      </c>
      <c r="P944" t="s">
        <v>78</v>
      </c>
      <c r="Q944" s="55">
        <v>107.27272727272727</v>
      </c>
      <c r="R944" s="32">
        <v>59</v>
      </c>
      <c r="S944" s="33">
        <v>0.33</v>
      </c>
      <c r="T944" s="34">
        <f t="shared" si="29"/>
        <v>88.059701492537329</v>
      </c>
      <c r="U944" s="34">
        <f t="shared" si="30"/>
        <v>89.160447761194035</v>
      </c>
      <c r="V944" t="s">
        <v>79</v>
      </c>
      <c r="W944" s="32">
        <v>15</v>
      </c>
      <c r="X944" s="32" t="s">
        <v>80</v>
      </c>
      <c r="AD944" s="1">
        <v>194917461099</v>
      </c>
      <c r="AN944">
        <v>30</v>
      </c>
      <c r="AO944" t="s">
        <v>81</v>
      </c>
    </row>
    <row r="945" spans="1:41" ht="90" x14ac:dyDescent="0.25">
      <c r="A945" s="2">
        <v>194917460993</v>
      </c>
      <c r="B945" t="s">
        <v>71</v>
      </c>
      <c r="C945" t="s">
        <v>72</v>
      </c>
      <c r="D945" t="s">
        <v>2867</v>
      </c>
      <c r="E945" t="s">
        <v>2868</v>
      </c>
      <c r="F945">
        <v>316210</v>
      </c>
      <c r="G945" s="35" t="s">
        <v>2808</v>
      </c>
      <c r="H945" s="31" t="s">
        <v>2869</v>
      </c>
      <c r="J945" t="s">
        <v>77</v>
      </c>
      <c r="M945">
        <v>120</v>
      </c>
      <c r="P945" t="s">
        <v>78</v>
      </c>
      <c r="Q945" s="55">
        <v>107.27272727272727</v>
      </c>
      <c r="R945" s="32">
        <v>59</v>
      </c>
      <c r="S945" s="33">
        <v>0.33</v>
      </c>
      <c r="T945" s="34">
        <f t="shared" si="29"/>
        <v>88.059701492537329</v>
      </c>
      <c r="U945" s="34">
        <f t="shared" si="30"/>
        <v>89.160447761194035</v>
      </c>
      <c r="V945" t="s">
        <v>79</v>
      </c>
      <c r="W945" s="32">
        <v>15</v>
      </c>
      <c r="X945" s="32" t="s">
        <v>80</v>
      </c>
      <c r="AD945" s="1">
        <v>194917460993</v>
      </c>
      <c r="AN945">
        <v>30</v>
      </c>
      <c r="AO945" t="s">
        <v>81</v>
      </c>
    </row>
    <row r="946" spans="1:41" ht="90" x14ac:dyDescent="0.25">
      <c r="A946" s="2">
        <v>194917461105</v>
      </c>
      <c r="B946" t="s">
        <v>71</v>
      </c>
      <c r="C946" t="s">
        <v>72</v>
      </c>
      <c r="D946" t="s">
        <v>2870</v>
      </c>
      <c r="E946" t="s">
        <v>2871</v>
      </c>
      <c r="F946">
        <v>316210</v>
      </c>
      <c r="G946" s="35" t="s">
        <v>2808</v>
      </c>
      <c r="H946" s="31" t="s">
        <v>2872</v>
      </c>
      <c r="J946" t="s">
        <v>77</v>
      </c>
      <c r="M946">
        <v>120</v>
      </c>
      <c r="P946" t="s">
        <v>78</v>
      </c>
      <c r="Q946" s="55">
        <v>107.27272727272727</v>
      </c>
      <c r="R946" s="32">
        <v>59</v>
      </c>
      <c r="S946" s="33">
        <v>0.33</v>
      </c>
      <c r="T946" s="34">
        <f t="shared" si="29"/>
        <v>88.059701492537329</v>
      </c>
      <c r="U946" s="34">
        <f t="shared" si="30"/>
        <v>89.160447761194035</v>
      </c>
      <c r="V946" t="s">
        <v>79</v>
      </c>
      <c r="W946" s="32">
        <v>15</v>
      </c>
      <c r="X946" s="32" t="s">
        <v>80</v>
      </c>
      <c r="AD946" s="1">
        <v>194917461105</v>
      </c>
      <c r="AN946">
        <v>30</v>
      </c>
      <c r="AO946" t="s">
        <v>81</v>
      </c>
    </row>
    <row r="947" spans="1:41" ht="90" x14ac:dyDescent="0.25">
      <c r="A947" s="2">
        <v>194917461358</v>
      </c>
      <c r="B947" t="s">
        <v>71</v>
      </c>
      <c r="C947" t="s">
        <v>72</v>
      </c>
      <c r="D947" t="s">
        <v>2873</v>
      </c>
      <c r="E947" t="s">
        <v>2874</v>
      </c>
      <c r="F947">
        <v>316210</v>
      </c>
      <c r="G947" s="35" t="s">
        <v>2808</v>
      </c>
      <c r="H947" s="31" t="s">
        <v>2875</v>
      </c>
      <c r="J947" t="s">
        <v>77</v>
      </c>
      <c r="M947">
        <v>120</v>
      </c>
      <c r="P947" t="s">
        <v>78</v>
      </c>
      <c r="Q947" s="55">
        <v>107.27272727272727</v>
      </c>
      <c r="R947" s="32">
        <v>59</v>
      </c>
      <c r="S947" s="33">
        <v>0.33</v>
      </c>
      <c r="T947" s="34">
        <f t="shared" si="29"/>
        <v>88.059701492537329</v>
      </c>
      <c r="U947" s="34">
        <f t="shared" si="30"/>
        <v>89.160447761194035</v>
      </c>
      <c r="V947" t="s">
        <v>79</v>
      </c>
      <c r="W947" s="32">
        <v>15</v>
      </c>
      <c r="X947" s="32" t="s">
        <v>80</v>
      </c>
      <c r="AD947" s="1">
        <v>194917461358</v>
      </c>
      <c r="AN947">
        <v>30</v>
      </c>
      <c r="AO947" t="s">
        <v>81</v>
      </c>
    </row>
    <row r="948" spans="1:41" ht="90" x14ac:dyDescent="0.25">
      <c r="A948" s="2">
        <v>194917461365</v>
      </c>
      <c r="B948" t="s">
        <v>71</v>
      </c>
      <c r="C948" t="s">
        <v>72</v>
      </c>
      <c r="D948" t="s">
        <v>2876</v>
      </c>
      <c r="E948" t="s">
        <v>2877</v>
      </c>
      <c r="F948">
        <v>316210</v>
      </c>
      <c r="G948" s="35" t="s">
        <v>2808</v>
      </c>
      <c r="H948" s="31" t="s">
        <v>2878</v>
      </c>
      <c r="J948" t="s">
        <v>77</v>
      </c>
      <c r="M948">
        <v>120</v>
      </c>
      <c r="P948" t="s">
        <v>78</v>
      </c>
      <c r="Q948" s="55">
        <v>107.27272727272727</v>
      </c>
      <c r="R948" s="32">
        <v>59</v>
      </c>
      <c r="S948" s="33">
        <v>0.33</v>
      </c>
      <c r="T948" s="34">
        <f t="shared" si="29"/>
        <v>88.059701492537329</v>
      </c>
      <c r="U948" s="34">
        <f t="shared" si="30"/>
        <v>89.160447761194035</v>
      </c>
      <c r="V948" t="s">
        <v>79</v>
      </c>
      <c r="W948" s="32">
        <v>15</v>
      </c>
      <c r="X948" s="32" t="s">
        <v>80</v>
      </c>
      <c r="AD948" s="1">
        <v>194917461365</v>
      </c>
      <c r="AN948">
        <v>30</v>
      </c>
      <c r="AO948" t="s">
        <v>81</v>
      </c>
    </row>
    <row r="949" spans="1:41" ht="90" x14ac:dyDescent="0.25">
      <c r="A949" s="2">
        <v>195019102835</v>
      </c>
      <c r="B949" t="s">
        <v>71</v>
      </c>
      <c r="C949" t="s">
        <v>72</v>
      </c>
      <c r="D949" t="s">
        <v>2879</v>
      </c>
      <c r="E949" t="s">
        <v>2880</v>
      </c>
      <c r="F949">
        <v>316210</v>
      </c>
      <c r="G949" s="35" t="s">
        <v>2808</v>
      </c>
      <c r="H949" s="31" t="s">
        <v>2881</v>
      </c>
      <c r="J949" t="s">
        <v>77</v>
      </c>
      <c r="M949">
        <v>120</v>
      </c>
      <c r="P949" t="s">
        <v>78</v>
      </c>
      <c r="Q949" s="55">
        <v>107.27272727272727</v>
      </c>
      <c r="R949" s="32">
        <v>59</v>
      </c>
      <c r="S949" s="33">
        <v>0.33</v>
      </c>
      <c r="T949" s="34">
        <f t="shared" si="29"/>
        <v>88.059701492537329</v>
      </c>
      <c r="U949" s="34">
        <f t="shared" si="30"/>
        <v>89.160447761194035</v>
      </c>
      <c r="V949" t="s">
        <v>79</v>
      </c>
      <c r="W949" s="32">
        <v>15</v>
      </c>
      <c r="X949" s="32" t="s">
        <v>80</v>
      </c>
      <c r="AD949" s="1">
        <v>195019102835</v>
      </c>
      <c r="AN949">
        <v>30</v>
      </c>
      <c r="AO949" t="s">
        <v>81</v>
      </c>
    </row>
    <row r="950" spans="1:41" ht="90" x14ac:dyDescent="0.25">
      <c r="A950" s="2">
        <v>195019102842</v>
      </c>
      <c r="B950" t="s">
        <v>71</v>
      </c>
      <c r="C950" t="s">
        <v>72</v>
      </c>
      <c r="D950" t="s">
        <v>2882</v>
      </c>
      <c r="E950" t="s">
        <v>2883</v>
      </c>
      <c r="F950">
        <v>316210</v>
      </c>
      <c r="G950" s="35" t="s">
        <v>2808</v>
      </c>
      <c r="H950" s="31" t="s">
        <v>2884</v>
      </c>
      <c r="J950" t="s">
        <v>77</v>
      </c>
      <c r="M950">
        <v>120</v>
      </c>
      <c r="P950" t="s">
        <v>78</v>
      </c>
      <c r="Q950" s="55">
        <v>107.27272727272727</v>
      </c>
      <c r="R950" s="32">
        <v>59</v>
      </c>
      <c r="S950" s="33">
        <v>0.33</v>
      </c>
      <c r="T950" s="34">
        <f t="shared" si="29"/>
        <v>88.059701492537329</v>
      </c>
      <c r="U950" s="34">
        <f t="shared" si="30"/>
        <v>89.160447761194035</v>
      </c>
      <c r="V950" t="s">
        <v>79</v>
      </c>
      <c r="W950" s="32">
        <v>15</v>
      </c>
      <c r="X950" s="32" t="s">
        <v>80</v>
      </c>
      <c r="AD950" s="1">
        <v>195019102842</v>
      </c>
      <c r="AN950">
        <v>30</v>
      </c>
      <c r="AO950" t="s">
        <v>81</v>
      </c>
    </row>
    <row r="951" spans="1:41" ht="90" x14ac:dyDescent="0.25">
      <c r="A951" s="2">
        <v>194917461112</v>
      </c>
      <c r="B951" t="s">
        <v>71</v>
      </c>
      <c r="C951" t="s">
        <v>72</v>
      </c>
      <c r="D951" t="s">
        <v>2885</v>
      </c>
      <c r="E951" t="s">
        <v>2886</v>
      </c>
      <c r="F951">
        <v>316210</v>
      </c>
      <c r="G951" s="35" t="s">
        <v>2887</v>
      </c>
      <c r="H951" s="31" t="s">
        <v>2888</v>
      </c>
      <c r="J951" t="s">
        <v>77</v>
      </c>
      <c r="M951">
        <v>110</v>
      </c>
      <c r="P951" t="s">
        <v>78</v>
      </c>
      <c r="Q951" s="55">
        <v>98.181818181818173</v>
      </c>
      <c r="R951" s="32">
        <v>54</v>
      </c>
      <c r="S951" s="33">
        <v>0.33</v>
      </c>
      <c r="T951" s="34">
        <f t="shared" si="29"/>
        <v>80.597014925373145</v>
      </c>
      <c r="U951" s="34">
        <f t="shared" si="30"/>
        <v>81.604477611940311</v>
      </c>
      <c r="V951" t="s">
        <v>79</v>
      </c>
      <c r="W951" s="32">
        <v>15</v>
      </c>
      <c r="X951" s="32" t="s">
        <v>80</v>
      </c>
      <c r="AD951" s="1">
        <v>194917461112</v>
      </c>
      <c r="AN951">
        <v>30</v>
      </c>
      <c r="AO951" t="s">
        <v>81</v>
      </c>
    </row>
    <row r="952" spans="1:41" ht="90" x14ac:dyDescent="0.25">
      <c r="A952" s="2">
        <v>194917461235</v>
      </c>
      <c r="B952" t="s">
        <v>71</v>
      </c>
      <c r="C952" t="s">
        <v>72</v>
      </c>
      <c r="D952" t="s">
        <v>2889</v>
      </c>
      <c r="E952" t="s">
        <v>2890</v>
      </c>
      <c r="F952">
        <v>316210</v>
      </c>
      <c r="G952" s="35" t="s">
        <v>2887</v>
      </c>
      <c r="H952" s="31" t="s">
        <v>2891</v>
      </c>
      <c r="J952" t="s">
        <v>77</v>
      </c>
      <c r="M952">
        <v>110</v>
      </c>
      <c r="P952" t="s">
        <v>78</v>
      </c>
      <c r="Q952" s="55">
        <v>98.181818181818173</v>
      </c>
      <c r="R952" s="32">
        <v>54</v>
      </c>
      <c r="S952" s="33">
        <v>0.33</v>
      </c>
      <c r="T952" s="34">
        <f t="shared" si="29"/>
        <v>80.597014925373145</v>
      </c>
      <c r="U952" s="34">
        <f t="shared" si="30"/>
        <v>81.604477611940311</v>
      </c>
      <c r="V952" t="s">
        <v>79</v>
      </c>
      <c r="W952" s="32">
        <v>15</v>
      </c>
      <c r="X952" s="32" t="s">
        <v>80</v>
      </c>
      <c r="AD952" s="1">
        <v>194917461235</v>
      </c>
      <c r="AN952">
        <v>30</v>
      </c>
      <c r="AO952" t="s">
        <v>81</v>
      </c>
    </row>
    <row r="953" spans="1:41" ht="90" x14ac:dyDescent="0.25">
      <c r="A953" s="2">
        <v>194917461129</v>
      </c>
      <c r="B953" t="s">
        <v>71</v>
      </c>
      <c r="C953" t="s">
        <v>72</v>
      </c>
      <c r="D953" t="s">
        <v>2892</v>
      </c>
      <c r="E953" t="s">
        <v>2893</v>
      </c>
      <c r="F953">
        <v>316210</v>
      </c>
      <c r="G953" s="35" t="s">
        <v>2887</v>
      </c>
      <c r="H953" s="31" t="s">
        <v>2894</v>
      </c>
      <c r="J953" t="s">
        <v>77</v>
      </c>
      <c r="M953">
        <v>110</v>
      </c>
      <c r="P953" t="s">
        <v>78</v>
      </c>
      <c r="Q953" s="55">
        <v>98.181818181818173</v>
      </c>
      <c r="R953" s="32">
        <v>54</v>
      </c>
      <c r="S953" s="33">
        <v>0.33</v>
      </c>
      <c r="T953" s="34">
        <f t="shared" si="29"/>
        <v>80.597014925373145</v>
      </c>
      <c r="U953" s="34">
        <f t="shared" si="30"/>
        <v>81.604477611940311</v>
      </c>
      <c r="V953" t="s">
        <v>79</v>
      </c>
      <c r="W953" s="32">
        <v>15</v>
      </c>
      <c r="X953" s="32" t="s">
        <v>80</v>
      </c>
      <c r="AD953" s="1">
        <v>194917461129</v>
      </c>
      <c r="AN953">
        <v>30</v>
      </c>
      <c r="AO953" t="s">
        <v>81</v>
      </c>
    </row>
    <row r="954" spans="1:41" ht="90" x14ac:dyDescent="0.25">
      <c r="A954" s="2">
        <v>194917461242</v>
      </c>
      <c r="B954" t="s">
        <v>71</v>
      </c>
      <c r="C954" t="s">
        <v>72</v>
      </c>
      <c r="D954" t="s">
        <v>2895</v>
      </c>
      <c r="E954" t="s">
        <v>2896</v>
      </c>
      <c r="F954">
        <v>316210</v>
      </c>
      <c r="G954" s="35" t="s">
        <v>2887</v>
      </c>
      <c r="H954" s="31" t="s">
        <v>2897</v>
      </c>
      <c r="J954" t="s">
        <v>77</v>
      </c>
      <c r="M954">
        <v>110</v>
      </c>
      <c r="P954" t="s">
        <v>78</v>
      </c>
      <c r="Q954" s="55">
        <v>98.181818181818173</v>
      </c>
      <c r="R954" s="32">
        <v>54</v>
      </c>
      <c r="S954" s="33">
        <v>0.33</v>
      </c>
      <c r="T954" s="34">
        <f t="shared" si="29"/>
        <v>80.597014925373145</v>
      </c>
      <c r="U954" s="34">
        <f t="shared" si="30"/>
        <v>81.604477611940311</v>
      </c>
      <c r="V954" t="s">
        <v>79</v>
      </c>
      <c r="W954" s="32">
        <v>15</v>
      </c>
      <c r="X954" s="32" t="s">
        <v>80</v>
      </c>
      <c r="AD954" s="1">
        <v>194917461242</v>
      </c>
      <c r="AN954">
        <v>30</v>
      </c>
      <c r="AO954" t="s">
        <v>81</v>
      </c>
    </row>
    <row r="955" spans="1:41" ht="90" x14ac:dyDescent="0.25">
      <c r="A955" s="2">
        <v>194917461136</v>
      </c>
      <c r="B955" t="s">
        <v>71</v>
      </c>
      <c r="C955" t="s">
        <v>72</v>
      </c>
      <c r="D955" t="s">
        <v>2898</v>
      </c>
      <c r="E955" t="s">
        <v>2899</v>
      </c>
      <c r="F955">
        <v>316210</v>
      </c>
      <c r="G955" s="35" t="s">
        <v>2887</v>
      </c>
      <c r="H955" s="31" t="s">
        <v>2900</v>
      </c>
      <c r="J955" t="s">
        <v>77</v>
      </c>
      <c r="M955">
        <v>110</v>
      </c>
      <c r="P955" t="s">
        <v>78</v>
      </c>
      <c r="Q955" s="55">
        <v>98.181818181818173</v>
      </c>
      <c r="R955" s="32">
        <v>54</v>
      </c>
      <c r="S955" s="33">
        <v>0.33</v>
      </c>
      <c r="T955" s="34">
        <f t="shared" si="29"/>
        <v>80.597014925373145</v>
      </c>
      <c r="U955" s="34">
        <f t="shared" si="30"/>
        <v>81.604477611940311</v>
      </c>
      <c r="V955" t="s">
        <v>79</v>
      </c>
      <c r="W955" s="32">
        <v>15</v>
      </c>
      <c r="X955" s="32" t="s">
        <v>80</v>
      </c>
      <c r="AD955" s="1">
        <v>194917461136</v>
      </c>
      <c r="AN955">
        <v>30</v>
      </c>
      <c r="AO955" t="s">
        <v>81</v>
      </c>
    </row>
    <row r="956" spans="1:41" ht="90" x14ac:dyDescent="0.25">
      <c r="A956" s="2">
        <v>194917461259</v>
      </c>
      <c r="B956" t="s">
        <v>71</v>
      </c>
      <c r="C956" t="s">
        <v>72</v>
      </c>
      <c r="D956" t="s">
        <v>2901</v>
      </c>
      <c r="E956" t="s">
        <v>2902</v>
      </c>
      <c r="F956">
        <v>316210</v>
      </c>
      <c r="G956" s="35" t="s">
        <v>2887</v>
      </c>
      <c r="H956" s="31" t="s">
        <v>2903</v>
      </c>
      <c r="J956" t="s">
        <v>77</v>
      </c>
      <c r="M956">
        <v>110</v>
      </c>
      <c r="P956" t="s">
        <v>78</v>
      </c>
      <c r="Q956" s="55">
        <v>98.181818181818173</v>
      </c>
      <c r="R956" s="32">
        <v>54</v>
      </c>
      <c r="S956" s="33">
        <v>0.33</v>
      </c>
      <c r="T956" s="34">
        <f t="shared" si="29"/>
        <v>80.597014925373145</v>
      </c>
      <c r="U956" s="34">
        <f t="shared" si="30"/>
        <v>81.604477611940311</v>
      </c>
      <c r="V956" t="s">
        <v>79</v>
      </c>
      <c r="W956" s="32">
        <v>15</v>
      </c>
      <c r="X956" s="32" t="s">
        <v>80</v>
      </c>
      <c r="AD956" s="1">
        <v>194917461259</v>
      </c>
      <c r="AN956">
        <v>30</v>
      </c>
      <c r="AO956" t="s">
        <v>81</v>
      </c>
    </row>
    <row r="957" spans="1:41" ht="90" x14ac:dyDescent="0.25">
      <c r="A957" s="2">
        <v>194917461143</v>
      </c>
      <c r="B957" t="s">
        <v>71</v>
      </c>
      <c r="C957" t="s">
        <v>72</v>
      </c>
      <c r="D957" t="s">
        <v>2904</v>
      </c>
      <c r="E957" t="s">
        <v>2905</v>
      </c>
      <c r="F957">
        <v>316210</v>
      </c>
      <c r="G957" s="35" t="s">
        <v>2887</v>
      </c>
      <c r="H957" s="31" t="s">
        <v>2906</v>
      </c>
      <c r="J957" t="s">
        <v>77</v>
      </c>
      <c r="M957">
        <v>110</v>
      </c>
      <c r="P957" t="s">
        <v>78</v>
      </c>
      <c r="Q957" s="55">
        <v>98.181818181818173</v>
      </c>
      <c r="R957" s="32">
        <v>54</v>
      </c>
      <c r="S957" s="33">
        <v>0.33</v>
      </c>
      <c r="T957" s="34">
        <f t="shared" si="29"/>
        <v>80.597014925373145</v>
      </c>
      <c r="U957" s="34">
        <f t="shared" si="30"/>
        <v>81.604477611940311</v>
      </c>
      <c r="V957" t="s">
        <v>79</v>
      </c>
      <c r="W957" s="32">
        <v>15</v>
      </c>
      <c r="X957" s="32" t="s">
        <v>80</v>
      </c>
      <c r="AD957" s="1">
        <v>194917461143</v>
      </c>
      <c r="AN957">
        <v>30</v>
      </c>
      <c r="AO957" t="s">
        <v>81</v>
      </c>
    </row>
    <row r="958" spans="1:41" ht="90" x14ac:dyDescent="0.25">
      <c r="A958" s="2">
        <v>194917461266</v>
      </c>
      <c r="B958" t="s">
        <v>71</v>
      </c>
      <c r="C958" t="s">
        <v>72</v>
      </c>
      <c r="D958" t="s">
        <v>2907</v>
      </c>
      <c r="E958" t="s">
        <v>2908</v>
      </c>
      <c r="F958">
        <v>316210</v>
      </c>
      <c r="G958" s="35" t="s">
        <v>2887</v>
      </c>
      <c r="H958" s="31" t="s">
        <v>2909</v>
      </c>
      <c r="J958" t="s">
        <v>77</v>
      </c>
      <c r="M958">
        <v>110</v>
      </c>
      <c r="P958" t="s">
        <v>78</v>
      </c>
      <c r="Q958" s="55">
        <v>98.181818181818173</v>
      </c>
      <c r="R958" s="32">
        <v>54</v>
      </c>
      <c r="S958" s="33">
        <v>0.33</v>
      </c>
      <c r="T958" s="34">
        <f t="shared" si="29"/>
        <v>80.597014925373145</v>
      </c>
      <c r="U958" s="34">
        <f t="shared" si="30"/>
        <v>81.604477611940311</v>
      </c>
      <c r="V958" t="s">
        <v>79</v>
      </c>
      <c r="W958" s="32">
        <v>15</v>
      </c>
      <c r="X958" s="32" t="s">
        <v>80</v>
      </c>
      <c r="AD958" s="1">
        <v>194917461266</v>
      </c>
      <c r="AN958">
        <v>30</v>
      </c>
      <c r="AO958" t="s">
        <v>81</v>
      </c>
    </row>
    <row r="959" spans="1:41" ht="90" x14ac:dyDescent="0.25">
      <c r="A959" s="2">
        <v>194917461150</v>
      </c>
      <c r="B959" t="s">
        <v>71</v>
      </c>
      <c r="C959" t="s">
        <v>72</v>
      </c>
      <c r="D959" t="s">
        <v>2910</v>
      </c>
      <c r="E959" t="s">
        <v>2911</v>
      </c>
      <c r="F959">
        <v>316210</v>
      </c>
      <c r="G959" s="35" t="s">
        <v>2887</v>
      </c>
      <c r="H959" s="31" t="s">
        <v>2912</v>
      </c>
      <c r="J959" t="s">
        <v>77</v>
      </c>
      <c r="M959">
        <v>110</v>
      </c>
      <c r="P959" t="s">
        <v>78</v>
      </c>
      <c r="Q959" s="55">
        <v>98.181818181818173</v>
      </c>
      <c r="R959" s="32">
        <v>54</v>
      </c>
      <c r="S959" s="33">
        <v>0.33</v>
      </c>
      <c r="T959" s="34">
        <f t="shared" si="29"/>
        <v>80.597014925373145</v>
      </c>
      <c r="U959" s="34">
        <f t="shared" si="30"/>
        <v>81.604477611940311</v>
      </c>
      <c r="V959" t="s">
        <v>79</v>
      </c>
      <c r="W959" s="32">
        <v>15</v>
      </c>
      <c r="X959" s="32" t="s">
        <v>80</v>
      </c>
      <c r="AD959" s="1">
        <v>194917461150</v>
      </c>
      <c r="AN959">
        <v>30</v>
      </c>
      <c r="AO959" t="s">
        <v>81</v>
      </c>
    </row>
    <row r="960" spans="1:41" ht="90" x14ac:dyDescent="0.25">
      <c r="A960" s="2">
        <v>194917461273</v>
      </c>
      <c r="B960" t="s">
        <v>71</v>
      </c>
      <c r="C960" t="s">
        <v>72</v>
      </c>
      <c r="D960" t="s">
        <v>2913</v>
      </c>
      <c r="E960" t="s">
        <v>2914</v>
      </c>
      <c r="F960">
        <v>316210</v>
      </c>
      <c r="G960" s="35" t="s">
        <v>2887</v>
      </c>
      <c r="H960" s="31" t="s">
        <v>2915</v>
      </c>
      <c r="J960" t="s">
        <v>77</v>
      </c>
      <c r="M960">
        <v>110</v>
      </c>
      <c r="P960" t="s">
        <v>78</v>
      </c>
      <c r="Q960" s="55">
        <v>98.181818181818173</v>
      </c>
      <c r="R960" s="32">
        <v>54</v>
      </c>
      <c r="S960" s="33">
        <v>0.33</v>
      </c>
      <c r="T960" s="34">
        <f t="shared" si="29"/>
        <v>80.597014925373145</v>
      </c>
      <c r="U960" s="34">
        <f t="shared" si="30"/>
        <v>81.604477611940311</v>
      </c>
      <c r="V960" t="s">
        <v>79</v>
      </c>
      <c r="W960" s="32">
        <v>15</v>
      </c>
      <c r="X960" s="32" t="s">
        <v>80</v>
      </c>
      <c r="AD960" s="1">
        <v>194917461273</v>
      </c>
      <c r="AN960">
        <v>30</v>
      </c>
      <c r="AO960" t="s">
        <v>81</v>
      </c>
    </row>
    <row r="961" spans="1:41" ht="90" x14ac:dyDescent="0.25">
      <c r="A961" s="2">
        <v>194917461167</v>
      </c>
      <c r="B961" t="s">
        <v>71</v>
      </c>
      <c r="C961" t="s">
        <v>72</v>
      </c>
      <c r="D961" t="s">
        <v>2916</v>
      </c>
      <c r="E961" t="s">
        <v>2917</v>
      </c>
      <c r="F961">
        <v>316210</v>
      </c>
      <c r="G961" s="35" t="s">
        <v>2887</v>
      </c>
      <c r="H961" s="31" t="s">
        <v>2918</v>
      </c>
      <c r="J961" t="s">
        <v>77</v>
      </c>
      <c r="M961">
        <v>110</v>
      </c>
      <c r="P961" t="s">
        <v>78</v>
      </c>
      <c r="Q961" s="55">
        <v>98.181818181818173</v>
      </c>
      <c r="R961" s="32">
        <v>54</v>
      </c>
      <c r="S961" s="33">
        <v>0.33</v>
      </c>
      <c r="T961" s="34">
        <f t="shared" si="29"/>
        <v>80.597014925373145</v>
      </c>
      <c r="U961" s="34">
        <f t="shared" si="30"/>
        <v>81.604477611940311</v>
      </c>
      <c r="V961" t="s">
        <v>79</v>
      </c>
      <c r="W961" s="32">
        <v>15</v>
      </c>
      <c r="X961" s="32" t="s">
        <v>80</v>
      </c>
      <c r="AD961" s="1">
        <v>194917461167</v>
      </c>
      <c r="AN961">
        <v>30</v>
      </c>
      <c r="AO961" t="s">
        <v>81</v>
      </c>
    </row>
    <row r="962" spans="1:41" ht="90" x14ac:dyDescent="0.25">
      <c r="A962" s="2">
        <v>194917461280</v>
      </c>
      <c r="B962" t="s">
        <v>71</v>
      </c>
      <c r="C962" t="s">
        <v>72</v>
      </c>
      <c r="D962" t="s">
        <v>2919</v>
      </c>
      <c r="E962" t="s">
        <v>2920</v>
      </c>
      <c r="F962">
        <v>316210</v>
      </c>
      <c r="G962" s="35" t="s">
        <v>2887</v>
      </c>
      <c r="H962" s="31" t="s">
        <v>2921</v>
      </c>
      <c r="J962" t="s">
        <v>77</v>
      </c>
      <c r="M962">
        <v>110</v>
      </c>
      <c r="P962" t="s">
        <v>78</v>
      </c>
      <c r="Q962" s="55">
        <v>98.181818181818173</v>
      </c>
      <c r="R962" s="32">
        <v>54</v>
      </c>
      <c r="S962" s="33">
        <v>0.33</v>
      </c>
      <c r="T962" s="34">
        <f t="shared" si="29"/>
        <v>80.597014925373145</v>
      </c>
      <c r="U962" s="34">
        <f t="shared" si="30"/>
        <v>81.604477611940311</v>
      </c>
      <c r="V962" t="s">
        <v>79</v>
      </c>
      <c r="W962" s="32">
        <v>15</v>
      </c>
      <c r="X962" s="32" t="s">
        <v>80</v>
      </c>
      <c r="AD962" s="1">
        <v>194917461280</v>
      </c>
      <c r="AN962">
        <v>30</v>
      </c>
      <c r="AO962" t="s">
        <v>81</v>
      </c>
    </row>
    <row r="963" spans="1:41" ht="90" x14ac:dyDescent="0.25">
      <c r="A963" s="2">
        <v>194917461174</v>
      </c>
      <c r="B963" t="s">
        <v>71</v>
      </c>
      <c r="C963" t="s">
        <v>72</v>
      </c>
      <c r="D963" t="s">
        <v>2922</v>
      </c>
      <c r="E963" t="s">
        <v>2923</v>
      </c>
      <c r="F963">
        <v>316210</v>
      </c>
      <c r="G963" s="35" t="s">
        <v>2887</v>
      </c>
      <c r="H963" s="31" t="s">
        <v>2924</v>
      </c>
      <c r="J963" t="s">
        <v>77</v>
      </c>
      <c r="M963">
        <v>110</v>
      </c>
      <c r="P963" t="s">
        <v>78</v>
      </c>
      <c r="Q963" s="55">
        <v>98.181818181818173</v>
      </c>
      <c r="R963" s="32">
        <v>54</v>
      </c>
      <c r="S963" s="33">
        <v>0.33</v>
      </c>
      <c r="T963" s="34">
        <f t="shared" si="29"/>
        <v>80.597014925373145</v>
      </c>
      <c r="U963" s="34">
        <f t="shared" si="30"/>
        <v>81.604477611940311</v>
      </c>
      <c r="V963" t="s">
        <v>79</v>
      </c>
      <c r="W963" s="32">
        <v>15</v>
      </c>
      <c r="X963" s="32" t="s">
        <v>80</v>
      </c>
      <c r="AD963" s="1">
        <v>194917461174</v>
      </c>
      <c r="AN963">
        <v>30</v>
      </c>
      <c r="AO963" t="s">
        <v>81</v>
      </c>
    </row>
    <row r="964" spans="1:41" ht="90" x14ac:dyDescent="0.25">
      <c r="A964" s="2">
        <v>194917461297</v>
      </c>
      <c r="B964" t="s">
        <v>71</v>
      </c>
      <c r="C964" t="s">
        <v>72</v>
      </c>
      <c r="D964" t="s">
        <v>2925</v>
      </c>
      <c r="E964" t="s">
        <v>2926</v>
      </c>
      <c r="F964">
        <v>316210</v>
      </c>
      <c r="G964" s="35" t="s">
        <v>2887</v>
      </c>
      <c r="H964" s="31" t="s">
        <v>2927</v>
      </c>
      <c r="J964" t="s">
        <v>77</v>
      </c>
      <c r="M964">
        <v>110</v>
      </c>
      <c r="P964" t="s">
        <v>78</v>
      </c>
      <c r="Q964" s="55">
        <v>98.181818181818173</v>
      </c>
      <c r="R964" s="32">
        <v>54</v>
      </c>
      <c r="S964" s="33">
        <v>0.33</v>
      </c>
      <c r="T964" s="34">
        <f t="shared" ref="T964:T1027" si="31">R964/(1-S964)</f>
        <v>80.597014925373145</v>
      </c>
      <c r="U964" s="34">
        <f t="shared" ref="U964:U1027" si="32">T964*(1+1.25%)</f>
        <v>81.604477611940311</v>
      </c>
      <c r="V964" t="s">
        <v>79</v>
      </c>
      <c r="W964" s="32">
        <v>15</v>
      </c>
      <c r="X964" s="32" t="s">
        <v>80</v>
      </c>
      <c r="AD964" s="1">
        <v>194917461297</v>
      </c>
      <c r="AN964">
        <v>30</v>
      </c>
      <c r="AO964" t="s">
        <v>81</v>
      </c>
    </row>
    <row r="965" spans="1:41" ht="90" x14ac:dyDescent="0.25">
      <c r="A965" s="2">
        <v>194917461181</v>
      </c>
      <c r="B965" t="s">
        <v>71</v>
      </c>
      <c r="C965" t="s">
        <v>72</v>
      </c>
      <c r="D965" t="s">
        <v>2928</v>
      </c>
      <c r="E965" t="s">
        <v>2929</v>
      </c>
      <c r="F965">
        <v>316210</v>
      </c>
      <c r="G965" s="35" t="s">
        <v>2887</v>
      </c>
      <c r="H965" s="31" t="s">
        <v>2930</v>
      </c>
      <c r="J965" t="s">
        <v>77</v>
      </c>
      <c r="M965">
        <v>110</v>
      </c>
      <c r="P965" t="s">
        <v>78</v>
      </c>
      <c r="Q965" s="55">
        <v>98.181818181818173</v>
      </c>
      <c r="R965" s="32">
        <v>54</v>
      </c>
      <c r="S965" s="33">
        <v>0.33</v>
      </c>
      <c r="T965" s="34">
        <f t="shared" si="31"/>
        <v>80.597014925373145</v>
      </c>
      <c r="U965" s="34">
        <f t="shared" si="32"/>
        <v>81.604477611940311</v>
      </c>
      <c r="V965" t="s">
        <v>79</v>
      </c>
      <c r="W965" s="32">
        <v>15</v>
      </c>
      <c r="X965" s="32" t="s">
        <v>80</v>
      </c>
      <c r="AD965" s="1">
        <v>194917461181</v>
      </c>
      <c r="AN965">
        <v>30</v>
      </c>
      <c r="AO965" t="s">
        <v>81</v>
      </c>
    </row>
    <row r="966" spans="1:41" ht="90" x14ac:dyDescent="0.25">
      <c r="A966" s="2">
        <v>194917461303</v>
      </c>
      <c r="B966" t="s">
        <v>71</v>
      </c>
      <c r="C966" t="s">
        <v>72</v>
      </c>
      <c r="D966" t="s">
        <v>2931</v>
      </c>
      <c r="E966" t="s">
        <v>2932</v>
      </c>
      <c r="F966">
        <v>316210</v>
      </c>
      <c r="G966" s="35" t="s">
        <v>2887</v>
      </c>
      <c r="H966" s="31" t="s">
        <v>2933</v>
      </c>
      <c r="J966" t="s">
        <v>77</v>
      </c>
      <c r="M966">
        <v>110</v>
      </c>
      <c r="P966" t="s">
        <v>78</v>
      </c>
      <c r="Q966" s="55">
        <v>98.181818181818173</v>
      </c>
      <c r="R966" s="32">
        <v>54</v>
      </c>
      <c r="S966" s="33">
        <v>0.33</v>
      </c>
      <c r="T966" s="34">
        <f t="shared" si="31"/>
        <v>80.597014925373145</v>
      </c>
      <c r="U966" s="34">
        <f t="shared" si="32"/>
        <v>81.604477611940311</v>
      </c>
      <c r="V966" t="s">
        <v>79</v>
      </c>
      <c r="W966" s="32">
        <v>15</v>
      </c>
      <c r="X966" s="32" t="s">
        <v>80</v>
      </c>
      <c r="AD966" s="1">
        <v>194917461303</v>
      </c>
      <c r="AN966">
        <v>30</v>
      </c>
      <c r="AO966" t="s">
        <v>81</v>
      </c>
    </row>
    <row r="967" spans="1:41" ht="90" x14ac:dyDescent="0.25">
      <c r="A967" s="2">
        <v>194917461198</v>
      </c>
      <c r="B967" t="s">
        <v>71</v>
      </c>
      <c r="C967" t="s">
        <v>72</v>
      </c>
      <c r="D967" t="s">
        <v>2934</v>
      </c>
      <c r="E967" t="s">
        <v>2935</v>
      </c>
      <c r="F967">
        <v>316210</v>
      </c>
      <c r="G967" s="35" t="s">
        <v>2887</v>
      </c>
      <c r="H967" s="31" t="s">
        <v>2936</v>
      </c>
      <c r="J967" t="s">
        <v>77</v>
      </c>
      <c r="M967">
        <v>110</v>
      </c>
      <c r="P967" t="s">
        <v>78</v>
      </c>
      <c r="Q967" s="55">
        <v>98.181818181818173</v>
      </c>
      <c r="R967" s="32">
        <v>54</v>
      </c>
      <c r="S967" s="33">
        <v>0.33</v>
      </c>
      <c r="T967" s="34">
        <f t="shared" si="31"/>
        <v>80.597014925373145</v>
      </c>
      <c r="U967" s="34">
        <f t="shared" si="32"/>
        <v>81.604477611940311</v>
      </c>
      <c r="V967" t="s">
        <v>79</v>
      </c>
      <c r="W967" s="32">
        <v>15</v>
      </c>
      <c r="X967" s="32" t="s">
        <v>80</v>
      </c>
      <c r="AD967" s="1">
        <v>194917461198</v>
      </c>
      <c r="AN967">
        <v>30</v>
      </c>
      <c r="AO967" t="s">
        <v>81</v>
      </c>
    </row>
    <row r="968" spans="1:41" ht="90" x14ac:dyDescent="0.25">
      <c r="A968" s="2">
        <v>194917461310</v>
      </c>
      <c r="B968" t="s">
        <v>71</v>
      </c>
      <c r="C968" t="s">
        <v>72</v>
      </c>
      <c r="D968" t="s">
        <v>2937</v>
      </c>
      <c r="E968" t="s">
        <v>2938</v>
      </c>
      <c r="F968">
        <v>316210</v>
      </c>
      <c r="G968" s="35" t="s">
        <v>2887</v>
      </c>
      <c r="H968" s="31" t="s">
        <v>2939</v>
      </c>
      <c r="J968" t="s">
        <v>77</v>
      </c>
      <c r="M968">
        <v>110</v>
      </c>
      <c r="P968" t="s">
        <v>78</v>
      </c>
      <c r="Q968" s="55">
        <v>98.181818181818173</v>
      </c>
      <c r="R968" s="32">
        <v>54</v>
      </c>
      <c r="S968" s="33">
        <v>0.33</v>
      </c>
      <c r="T968" s="34">
        <f t="shared" si="31"/>
        <v>80.597014925373145</v>
      </c>
      <c r="U968" s="34">
        <f t="shared" si="32"/>
        <v>81.604477611940311</v>
      </c>
      <c r="V968" t="s">
        <v>79</v>
      </c>
      <c r="W968" s="32">
        <v>15</v>
      </c>
      <c r="X968" s="32" t="s">
        <v>80</v>
      </c>
      <c r="AD968" s="1">
        <v>194917461310</v>
      </c>
      <c r="AN968">
        <v>30</v>
      </c>
      <c r="AO968" t="s">
        <v>81</v>
      </c>
    </row>
    <row r="969" spans="1:41" ht="90" x14ac:dyDescent="0.25">
      <c r="A969" s="2">
        <v>194917461204</v>
      </c>
      <c r="B969" t="s">
        <v>71</v>
      </c>
      <c r="C969" t="s">
        <v>72</v>
      </c>
      <c r="D969" t="s">
        <v>2940</v>
      </c>
      <c r="E969" t="s">
        <v>2941</v>
      </c>
      <c r="F969">
        <v>316210</v>
      </c>
      <c r="G969" s="35" t="s">
        <v>2887</v>
      </c>
      <c r="H969" s="31" t="s">
        <v>2942</v>
      </c>
      <c r="J969" t="s">
        <v>77</v>
      </c>
      <c r="M969">
        <v>110</v>
      </c>
      <c r="P969" t="s">
        <v>78</v>
      </c>
      <c r="Q969" s="55">
        <v>98.181818181818173</v>
      </c>
      <c r="R969" s="32">
        <v>54</v>
      </c>
      <c r="S969" s="33">
        <v>0.33</v>
      </c>
      <c r="T969" s="34">
        <f t="shared" si="31"/>
        <v>80.597014925373145</v>
      </c>
      <c r="U969" s="34">
        <f t="shared" si="32"/>
        <v>81.604477611940311</v>
      </c>
      <c r="V969" t="s">
        <v>79</v>
      </c>
      <c r="W969" s="32">
        <v>15</v>
      </c>
      <c r="X969" s="32" t="s">
        <v>80</v>
      </c>
      <c r="AD969" s="1">
        <v>194917461204</v>
      </c>
      <c r="AN969">
        <v>30</v>
      </c>
      <c r="AO969" t="s">
        <v>81</v>
      </c>
    </row>
    <row r="970" spans="1:41" ht="90" x14ac:dyDescent="0.25">
      <c r="A970" s="2">
        <v>194917461327</v>
      </c>
      <c r="B970" t="s">
        <v>71</v>
      </c>
      <c r="C970" t="s">
        <v>72</v>
      </c>
      <c r="D970" t="s">
        <v>2943</v>
      </c>
      <c r="E970" t="s">
        <v>2944</v>
      </c>
      <c r="F970">
        <v>316210</v>
      </c>
      <c r="G970" s="35" t="s">
        <v>2887</v>
      </c>
      <c r="H970" s="31" t="s">
        <v>2945</v>
      </c>
      <c r="J970" t="s">
        <v>77</v>
      </c>
      <c r="M970">
        <v>110</v>
      </c>
      <c r="P970" t="s">
        <v>78</v>
      </c>
      <c r="Q970" s="55">
        <v>98.181818181818173</v>
      </c>
      <c r="R970" s="32">
        <v>54</v>
      </c>
      <c r="S970" s="33">
        <v>0.33</v>
      </c>
      <c r="T970" s="34">
        <f t="shared" si="31"/>
        <v>80.597014925373145</v>
      </c>
      <c r="U970" s="34">
        <f t="shared" si="32"/>
        <v>81.604477611940311</v>
      </c>
      <c r="V970" t="s">
        <v>79</v>
      </c>
      <c r="W970" s="32">
        <v>15</v>
      </c>
      <c r="X970" s="32" t="s">
        <v>80</v>
      </c>
      <c r="AD970" s="1">
        <v>194917461327</v>
      </c>
      <c r="AN970">
        <v>30</v>
      </c>
      <c r="AO970" t="s">
        <v>81</v>
      </c>
    </row>
    <row r="971" spans="1:41" ht="90" x14ac:dyDescent="0.25">
      <c r="A971" s="2">
        <v>194917461211</v>
      </c>
      <c r="B971" t="s">
        <v>71</v>
      </c>
      <c r="C971" t="s">
        <v>72</v>
      </c>
      <c r="D971" t="s">
        <v>2946</v>
      </c>
      <c r="E971" t="s">
        <v>2947</v>
      </c>
      <c r="F971">
        <v>316210</v>
      </c>
      <c r="G971" s="35" t="s">
        <v>2887</v>
      </c>
      <c r="H971" s="31" t="s">
        <v>2948</v>
      </c>
      <c r="J971" t="s">
        <v>77</v>
      </c>
      <c r="M971">
        <v>110</v>
      </c>
      <c r="P971" t="s">
        <v>78</v>
      </c>
      <c r="Q971" s="55">
        <v>98.181818181818173</v>
      </c>
      <c r="R971" s="32">
        <v>54</v>
      </c>
      <c r="S971" s="33">
        <v>0.33</v>
      </c>
      <c r="T971" s="34">
        <f t="shared" si="31"/>
        <v>80.597014925373145</v>
      </c>
      <c r="U971" s="34">
        <f t="shared" si="32"/>
        <v>81.604477611940311</v>
      </c>
      <c r="V971" t="s">
        <v>79</v>
      </c>
      <c r="W971" s="32">
        <v>15</v>
      </c>
      <c r="X971" s="32" t="s">
        <v>80</v>
      </c>
      <c r="AD971" s="1">
        <v>194917461211</v>
      </c>
      <c r="AN971">
        <v>30</v>
      </c>
      <c r="AO971" t="s">
        <v>81</v>
      </c>
    </row>
    <row r="972" spans="1:41" ht="90" x14ac:dyDescent="0.25">
      <c r="A972" s="2">
        <v>194917461334</v>
      </c>
      <c r="B972" t="s">
        <v>71</v>
      </c>
      <c r="C972" t="s">
        <v>72</v>
      </c>
      <c r="D972" t="s">
        <v>2949</v>
      </c>
      <c r="E972" t="s">
        <v>2950</v>
      </c>
      <c r="F972">
        <v>316210</v>
      </c>
      <c r="G972" s="35" t="s">
        <v>2887</v>
      </c>
      <c r="H972" s="31" t="s">
        <v>2951</v>
      </c>
      <c r="J972" t="s">
        <v>77</v>
      </c>
      <c r="M972">
        <v>110</v>
      </c>
      <c r="P972" t="s">
        <v>78</v>
      </c>
      <c r="Q972" s="55">
        <v>98.181818181818173</v>
      </c>
      <c r="R972" s="32">
        <v>54</v>
      </c>
      <c r="S972" s="33">
        <v>0.33</v>
      </c>
      <c r="T972" s="34">
        <f t="shared" si="31"/>
        <v>80.597014925373145</v>
      </c>
      <c r="U972" s="34">
        <f t="shared" si="32"/>
        <v>81.604477611940311</v>
      </c>
      <c r="V972" t="s">
        <v>79</v>
      </c>
      <c r="W972" s="32">
        <v>15</v>
      </c>
      <c r="X972" s="32" t="s">
        <v>80</v>
      </c>
      <c r="AD972" s="1">
        <v>194917461334</v>
      </c>
      <c r="AN972">
        <v>30</v>
      </c>
      <c r="AO972" t="s">
        <v>81</v>
      </c>
    </row>
    <row r="973" spans="1:41" ht="90" x14ac:dyDescent="0.25">
      <c r="A973" s="2">
        <v>194917461228</v>
      </c>
      <c r="B973" t="s">
        <v>71</v>
      </c>
      <c r="C973" t="s">
        <v>72</v>
      </c>
      <c r="D973" t="s">
        <v>2952</v>
      </c>
      <c r="E973" t="s">
        <v>2953</v>
      </c>
      <c r="F973">
        <v>316210</v>
      </c>
      <c r="G973" s="35" t="s">
        <v>2887</v>
      </c>
      <c r="H973" s="31" t="s">
        <v>2954</v>
      </c>
      <c r="J973" t="s">
        <v>77</v>
      </c>
      <c r="M973">
        <v>110</v>
      </c>
      <c r="P973" t="s">
        <v>78</v>
      </c>
      <c r="Q973" s="55">
        <v>98.181818181818173</v>
      </c>
      <c r="R973" s="32">
        <v>54</v>
      </c>
      <c r="S973" s="33">
        <v>0.33</v>
      </c>
      <c r="T973" s="34">
        <f t="shared" si="31"/>
        <v>80.597014925373145</v>
      </c>
      <c r="U973" s="34">
        <f t="shared" si="32"/>
        <v>81.604477611940311</v>
      </c>
      <c r="V973" t="s">
        <v>79</v>
      </c>
      <c r="W973" s="32">
        <v>15</v>
      </c>
      <c r="X973" s="32" t="s">
        <v>80</v>
      </c>
      <c r="AD973" s="1">
        <v>194917461228</v>
      </c>
      <c r="AN973">
        <v>30</v>
      </c>
      <c r="AO973" t="s">
        <v>81</v>
      </c>
    </row>
    <row r="974" spans="1:41" ht="90" x14ac:dyDescent="0.25">
      <c r="A974" s="2">
        <v>194917461341</v>
      </c>
      <c r="B974" t="s">
        <v>71</v>
      </c>
      <c r="C974" t="s">
        <v>72</v>
      </c>
      <c r="D974" t="s">
        <v>2955</v>
      </c>
      <c r="E974" t="s">
        <v>2956</v>
      </c>
      <c r="F974">
        <v>316210</v>
      </c>
      <c r="G974" s="35" t="s">
        <v>2887</v>
      </c>
      <c r="H974" s="31" t="s">
        <v>2957</v>
      </c>
      <c r="J974" t="s">
        <v>77</v>
      </c>
      <c r="M974">
        <v>110</v>
      </c>
      <c r="P974" t="s">
        <v>78</v>
      </c>
      <c r="Q974" s="55">
        <v>98.181818181818173</v>
      </c>
      <c r="R974" s="32">
        <v>54</v>
      </c>
      <c r="S974" s="33">
        <v>0.33</v>
      </c>
      <c r="T974" s="34">
        <f t="shared" si="31"/>
        <v>80.597014925373145</v>
      </c>
      <c r="U974" s="34">
        <f t="shared" si="32"/>
        <v>81.604477611940311</v>
      </c>
      <c r="V974" t="s">
        <v>79</v>
      </c>
      <c r="W974" s="32">
        <v>15</v>
      </c>
      <c r="X974" s="32" t="s">
        <v>80</v>
      </c>
      <c r="AD974" s="1">
        <v>194917461341</v>
      </c>
      <c r="AN974">
        <v>30</v>
      </c>
      <c r="AO974" t="s">
        <v>81</v>
      </c>
    </row>
    <row r="975" spans="1:41" ht="90" x14ac:dyDescent="0.25">
      <c r="A975" s="2">
        <v>195019102859</v>
      </c>
      <c r="B975" t="s">
        <v>71</v>
      </c>
      <c r="C975" t="s">
        <v>72</v>
      </c>
      <c r="D975" t="s">
        <v>2958</v>
      </c>
      <c r="E975" t="s">
        <v>2959</v>
      </c>
      <c r="F975">
        <v>316210</v>
      </c>
      <c r="G975" s="35" t="s">
        <v>2887</v>
      </c>
      <c r="H975" s="31" t="s">
        <v>2960</v>
      </c>
      <c r="J975" t="s">
        <v>77</v>
      </c>
      <c r="M975">
        <v>110</v>
      </c>
      <c r="P975" t="s">
        <v>78</v>
      </c>
      <c r="Q975" s="55">
        <v>98.181818181818173</v>
      </c>
      <c r="R975" s="32">
        <v>54</v>
      </c>
      <c r="S975" s="33">
        <v>0.33</v>
      </c>
      <c r="T975" s="34">
        <f t="shared" si="31"/>
        <v>80.597014925373145</v>
      </c>
      <c r="U975" s="34">
        <f t="shared" si="32"/>
        <v>81.604477611940311</v>
      </c>
      <c r="V975" t="s">
        <v>79</v>
      </c>
      <c r="W975" s="32">
        <v>15</v>
      </c>
      <c r="X975" s="32" t="s">
        <v>80</v>
      </c>
      <c r="AD975" s="1">
        <v>195019102859</v>
      </c>
      <c r="AN975">
        <v>30</v>
      </c>
      <c r="AO975" t="s">
        <v>81</v>
      </c>
    </row>
    <row r="976" spans="1:41" ht="90" x14ac:dyDescent="0.25">
      <c r="A976" s="2">
        <v>195019102866</v>
      </c>
      <c r="B976" t="s">
        <v>71</v>
      </c>
      <c r="C976" t="s">
        <v>72</v>
      </c>
      <c r="D976" t="s">
        <v>2961</v>
      </c>
      <c r="E976" t="s">
        <v>2962</v>
      </c>
      <c r="F976">
        <v>316210</v>
      </c>
      <c r="G976" s="35" t="s">
        <v>2887</v>
      </c>
      <c r="H976" s="31" t="s">
        <v>2963</v>
      </c>
      <c r="J976" t="s">
        <v>77</v>
      </c>
      <c r="M976">
        <v>110</v>
      </c>
      <c r="P976" t="s">
        <v>78</v>
      </c>
      <c r="Q976" s="55">
        <v>98.181818181818173</v>
      </c>
      <c r="R976" s="32">
        <v>54</v>
      </c>
      <c r="S976" s="33">
        <v>0.33</v>
      </c>
      <c r="T976" s="34">
        <f t="shared" si="31"/>
        <v>80.597014925373145</v>
      </c>
      <c r="U976" s="34">
        <f t="shared" si="32"/>
        <v>81.604477611940311</v>
      </c>
      <c r="V976" t="s">
        <v>79</v>
      </c>
      <c r="W976" s="32">
        <v>15</v>
      </c>
      <c r="X976" s="32" t="s">
        <v>80</v>
      </c>
      <c r="AD976" s="1">
        <v>195019102866</v>
      </c>
      <c r="AN976">
        <v>30</v>
      </c>
      <c r="AO976" t="s">
        <v>81</v>
      </c>
    </row>
    <row r="977" spans="1:41" ht="75" x14ac:dyDescent="0.25">
      <c r="A977" s="2">
        <v>195018760777</v>
      </c>
      <c r="B977" t="s">
        <v>71</v>
      </c>
      <c r="C977" t="s">
        <v>72</v>
      </c>
      <c r="D977" t="s">
        <v>2964</v>
      </c>
      <c r="E977" t="s">
        <v>2965</v>
      </c>
      <c r="F977">
        <v>316210</v>
      </c>
      <c r="G977" s="35" t="s">
        <v>2966</v>
      </c>
      <c r="H977" s="31" t="s">
        <v>2967</v>
      </c>
      <c r="J977" t="s">
        <v>77</v>
      </c>
      <c r="M977">
        <v>110</v>
      </c>
      <c r="P977" t="s">
        <v>78</v>
      </c>
      <c r="Q977" s="55">
        <v>99.999999999999986</v>
      </c>
      <c r="R977" s="32">
        <v>55</v>
      </c>
      <c r="S977" s="33">
        <v>0.33</v>
      </c>
      <c r="T977" s="34">
        <f t="shared" si="31"/>
        <v>82.089552238805979</v>
      </c>
      <c r="U977" s="34">
        <f t="shared" si="32"/>
        <v>83.115671641791053</v>
      </c>
      <c r="V977" t="s">
        <v>79</v>
      </c>
      <c r="W977" s="32">
        <v>15</v>
      </c>
      <c r="X977" s="32" t="s">
        <v>80</v>
      </c>
      <c r="AD977" s="1">
        <v>195018760777</v>
      </c>
      <c r="AN977">
        <v>30</v>
      </c>
      <c r="AO977" t="s">
        <v>81</v>
      </c>
    </row>
    <row r="978" spans="1:41" ht="75" x14ac:dyDescent="0.25">
      <c r="A978" s="2">
        <v>195018760630</v>
      </c>
      <c r="B978" t="s">
        <v>71</v>
      </c>
      <c r="C978" t="s">
        <v>72</v>
      </c>
      <c r="D978" t="s">
        <v>2968</v>
      </c>
      <c r="E978" t="s">
        <v>2969</v>
      </c>
      <c r="F978">
        <v>316210</v>
      </c>
      <c r="G978" s="35" t="s">
        <v>2966</v>
      </c>
      <c r="H978" s="31" t="s">
        <v>2970</v>
      </c>
      <c r="J978" t="s">
        <v>77</v>
      </c>
      <c r="M978">
        <v>110</v>
      </c>
      <c r="P978" t="s">
        <v>78</v>
      </c>
      <c r="Q978" s="55">
        <v>99.999999999999986</v>
      </c>
      <c r="R978" s="32">
        <v>55</v>
      </c>
      <c r="S978" s="33">
        <v>0.33</v>
      </c>
      <c r="T978" s="34">
        <f t="shared" si="31"/>
        <v>82.089552238805979</v>
      </c>
      <c r="U978" s="34">
        <f t="shared" si="32"/>
        <v>83.115671641791053</v>
      </c>
      <c r="V978" t="s">
        <v>79</v>
      </c>
      <c r="W978" s="32">
        <v>15</v>
      </c>
      <c r="X978" s="32" t="s">
        <v>80</v>
      </c>
      <c r="AD978" s="1">
        <v>195018760630</v>
      </c>
      <c r="AN978">
        <v>30</v>
      </c>
      <c r="AO978" t="s">
        <v>81</v>
      </c>
    </row>
    <row r="979" spans="1:41" ht="75" x14ac:dyDescent="0.25">
      <c r="A979" s="2">
        <v>195018760784</v>
      </c>
      <c r="B979" t="s">
        <v>71</v>
      </c>
      <c r="C979" t="s">
        <v>72</v>
      </c>
      <c r="D979" t="s">
        <v>2971</v>
      </c>
      <c r="E979" t="s">
        <v>2972</v>
      </c>
      <c r="F979">
        <v>316210</v>
      </c>
      <c r="G979" s="35" t="s">
        <v>2966</v>
      </c>
      <c r="H979" s="31" t="s">
        <v>2973</v>
      </c>
      <c r="J979" t="s">
        <v>77</v>
      </c>
      <c r="M979">
        <v>110</v>
      </c>
      <c r="P979" t="s">
        <v>78</v>
      </c>
      <c r="Q979" s="55">
        <v>99.999999999999986</v>
      </c>
      <c r="R979" s="32">
        <v>55</v>
      </c>
      <c r="S979" s="33">
        <v>0.33</v>
      </c>
      <c r="T979" s="34">
        <f t="shared" si="31"/>
        <v>82.089552238805979</v>
      </c>
      <c r="U979" s="34">
        <f t="shared" si="32"/>
        <v>83.115671641791053</v>
      </c>
      <c r="V979" t="s">
        <v>79</v>
      </c>
      <c r="W979" s="32">
        <v>15</v>
      </c>
      <c r="X979" s="32" t="s">
        <v>80</v>
      </c>
      <c r="AD979" s="1">
        <v>195018760784</v>
      </c>
      <c r="AN979">
        <v>30</v>
      </c>
      <c r="AO979" t="s">
        <v>81</v>
      </c>
    </row>
    <row r="980" spans="1:41" ht="75" x14ac:dyDescent="0.25">
      <c r="A980" s="2">
        <v>195018760647</v>
      </c>
      <c r="B980" t="s">
        <v>71</v>
      </c>
      <c r="C980" t="s">
        <v>72</v>
      </c>
      <c r="D980" t="s">
        <v>2974</v>
      </c>
      <c r="E980" t="s">
        <v>2975</v>
      </c>
      <c r="F980">
        <v>316210</v>
      </c>
      <c r="G980" s="35" t="s">
        <v>2966</v>
      </c>
      <c r="H980" s="31" t="s">
        <v>2976</v>
      </c>
      <c r="J980" t="s">
        <v>77</v>
      </c>
      <c r="M980">
        <v>110</v>
      </c>
      <c r="P980" t="s">
        <v>78</v>
      </c>
      <c r="Q980" s="55">
        <v>99.999999999999986</v>
      </c>
      <c r="R980" s="32">
        <v>55</v>
      </c>
      <c r="S980" s="33">
        <v>0.33</v>
      </c>
      <c r="T980" s="34">
        <f t="shared" si="31"/>
        <v>82.089552238805979</v>
      </c>
      <c r="U980" s="34">
        <f t="shared" si="32"/>
        <v>83.115671641791053</v>
      </c>
      <c r="V980" t="s">
        <v>79</v>
      </c>
      <c r="W980" s="32">
        <v>15</v>
      </c>
      <c r="X980" s="32" t="s">
        <v>80</v>
      </c>
      <c r="AD980" s="1">
        <v>195018760647</v>
      </c>
      <c r="AN980">
        <v>30</v>
      </c>
      <c r="AO980" t="s">
        <v>81</v>
      </c>
    </row>
    <row r="981" spans="1:41" ht="75" x14ac:dyDescent="0.25">
      <c r="A981" s="2">
        <v>195018760791</v>
      </c>
      <c r="B981" t="s">
        <v>71</v>
      </c>
      <c r="C981" t="s">
        <v>72</v>
      </c>
      <c r="D981" t="s">
        <v>2977</v>
      </c>
      <c r="E981" t="s">
        <v>2978</v>
      </c>
      <c r="F981">
        <v>316210</v>
      </c>
      <c r="G981" s="35" t="s">
        <v>2966</v>
      </c>
      <c r="H981" s="31" t="s">
        <v>2979</v>
      </c>
      <c r="J981" t="s">
        <v>77</v>
      </c>
      <c r="M981">
        <v>110</v>
      </c>
      <c r="P981" t="s">
        <v>78</v>
      </c>
      <c r="Q981" s="55">
        <v>99.999999999999986</v>
      </c>
      <c r="R981" s="32">
        <v>55</v>
      </c>
      <c r="S981" s="33">
        <v>0.33</v>
      </c>
      <c r="T981" s="34">
        <f t="shared" si="31"/>
        <v>82.089552238805979</v>
      </c>
      <c r="U981" s="34">
        <f t="shared" si="32"/>
        <v>83.115671641791053</v>
      </c>
      <c r="V981" t="s">
        <v>79</v>
      </c>
      <c r="W981" s="32">
        <v>15</v>
      </c>
      <c r="X981" s="32" t="s">
        <v>80</v>
      </c>
      <c r="AD981" s="1">
        <v>195018760791</v>
      </c>
      <c r="AN981">
        <v>30</v>
      </c>
      <c r="AO981" t="s">
        <v>81</v>
      </c>
    </row>
    <row r="982" spans="1:41" ht="75" x14ac:dyDescent="0.25">
      <c r="A982" s="2">
        <v>195018760654</v>
      </c>
      <c r="B982" t="s">
        <v>71</v>
      </c>
      <c r="C982" t="s">
        <v>72</v>
      </c>
      <c r="D982" t="s">
        <v>2980</v>
      </c>
      <c r="E982" t="s">
        <v>2981</v>
      </c>
      <c r="F982">
        <v>316210</v>
      </c>
      <c r="G982" s="35" t="s">
        <v>2966</v>
      </c>
      <c r="H982" s="31" t="s">
        <v>2982</v>
      </c>
      <c r="J982" t="s">
        <v>77</v>
      </c>
      <c r="M982">
        <v>110</v>
      </c>
      <c r="P982" t="s">
        <v>78</v>
      </c>
      <c r="Q982" s="55">
        <v>99.999999999999986</v>
      </c>
      <c r="R982" s="32">
        <v>55</v>
      </c>
      <c r="S982" s="33">
        <v>0.33</v>
      </c>
      <c r="T982" s="34">
        <f t="shared" si="31"/>
        <v>82.089552238805979</v>
      </c>
      <c r="U982" s="34">
        <f t="shared" si="32"/>
        <v>83.115671641791053</v>
      </c>
      <c r="V982" t="s">
        <v>79</v>
      </c>
      <c r="W982" s="32">
        <v>15</v>
      </c>
      <c r="X982" s="32" t="s">
        <v>80</v>
      </c>
      <c r="AD982" s="1">
        <v>195018760654</v>
      </c>
      <c r="AN982">
        <v>30</v>
      </c>
      <c r="AO982" t="s">
        <v>81</v>
      </c>
    </row>
    <row r="983" spans="1:41" ht="75" x14ac:dyDescent="0.25">
      <c r="A983" s="2">
        <v>195018760807</v>
      </c>
      <c r="B983" t="s">
        <v>71</v>
      </c>
      <c r="C983" t="s">
        <v>72</v>
      </c>
      <c r="D983" t="s">
        <v>2983</v>
      </c>
      <c r="E983" t="s">
        <v>2984</v>
      </c>
      <c r="F983">
        <v>316210</v>
      </c>
      <c r="G983" s="35" t="s">
        <v>2966</v>
      </c>
      <c r="H983" s="31" t="s">
        <v>2985</v>
      </c>
      <c r="J983" t="s">
        <v>77</v>
      </c>
      <c r="M983">
        <v>110</v>
      </c>
      <c r="P983" t="s">
        <v>78</v>
      </c>
      <c r="Q983" s="55">
        <v>99.999999999999986</v>
      </c>
      <c r="R983" s="32">
        <v>55</v>
      </c>
      <c r="S983" s="33">
        <v>0.33</v>
      </c>
      <c r="T983" s="34">
        <f t="shared" si="31"/>
        <v>82.089552238805979</v>
      </c>
      <c r="U983" s="34">
        <f t="shared" si="32"/>
        <v>83.115671641791053</v>
      </c>
      <c r="V983" t="s">
        <v>79</v>
      </c>
      <c r="W983" s="32">
        <v>15</v>
      </c>
      <c r="X983" s="32" t="s">
        <v>80</v>
      </c>
      <c r="AD983" s="1">
        <v>195018760807</v>
      </c>
      <c r="AN983">
        <v>30</v>
      </c>
      <c r="AO983" t="s">
        <v>81</v>
      </c>
    </row>
    <row r="984" spans="1:41" ht="75" x14ac:dyDescent="0.25">
      <c r="A984" s="2">
        <v>195018760661</v>
      </c>
      <c r="B984" t="s">
        <v>71</v>
      </c>
      <c r="C984" t="s">
        <v>72</v>
      </c>
      <c r="D984" t="s">
        <v>2986</v>
      </c>
      <c r="E984" t="s">
        <v>2987</v>
      </c>
      <c r="F984">
        <v>316210</v>
      </c>
      <c r="G984" s="35" t="s">
        <v>2966</v>
      </c>
      <c r="H984" s="31" t="s">
        <v>2988</v>
      </c>
      <c r="J984" t="s">
        <v>77</v>
      </c>
      <c r="M984">
        <v>110</v>
      </c>
      <c r="P984" t="s">
        <v>78</v>
      </c>
      <c r="Q984" s="55">
        <v>99.999999999999986</v>
      </c>
      <c r="R984" s="32">
        <v>55</v>
      </c>
      <c r="S984" s="33">
        <v>0.33</v>
      </c>
      <c r="T984" s="34">
        <f t="shared" si="31"/>
        <v>82.089552238805979</v>
      </c>
      <c r="U984" s="34">
        <f t="shared" si="32"/>
        <v>83.115671641791053</v>
      </c>
      <c r="V984" t="s">
        <v>79</v>
      </c>
      <c r="W984" s="32">
        <v>15</v>
      </c>
      <c r="X984" s="32" t="s">
        <v>80</v>
      </c>
      <c r="AD984" s="1">
        <v>195018760661</v>
      </c>
      <c r="AN984">
        <v>30</v>
      </c>
      <c r="AO984" t="s">
        <v>81</v>
      </c>
    </row>
    <row r="985" spans="1:41" ht="75" x14ac:dyDescent="0.25">
      <c r="A985" s="2">
        <v>195018760814</v>
      </c>
      <c r="B985" t="s">
        <v>71</v>
      </c>
      <c r="C985" t="s">
        <v>72</v>
      </c>
      <c r="D985" t="s">
        <v>2989</v>
      </c>
      <c r="E985" t="s">
        <v>2990</v>
      </c>
      <c r="F985">
        <v>316210</v>
      </c>
      <c r="G985" s="35" t="s">
        <v>2966</v>
      </c>
      <c r="H985" s="31" t="s">
        <v>2991</v>
      </c>
      <c r="J985" t="s">
        <v>77</v>
      </c>
      <c r="M985">
        <v>110</v>
      </c>
      <c r="P985" t="s">
        <v>78</v>
      </c>
      <c r="Q985" s="55">
        <v>99.999999999999986</v>
      </c>
      <c r="R985" s="32">
        <v>55</v>
      </c>
      <c r="S985" s="33">
        <v>0.33</v>
      </c>
      <c r="T985" s="34">
        <f t="shared" si="31"/>
        <v>82.089552238805979</v>
      </c>
      <c r="U985" s="34">
        <f t="shared" si="32"/>
        <v>83.115671641791053</v>
      </c>
      <c r="V985" t="s">
        <v>79</v>
      </c>
      <c r="W985" s="32">
        <v>15</v>
      </c>
      <c r="X985" s="32" t="s">
        <v>80</v>
      </c>
      <c r="AD985" s="1">
        <v>195018760814</v>
      </c>
      <c r="AN985">
        <v>30</v>
      </c>
      <c r="AO985" t="s">
        <v>81</v>
      </c>
    </row>
    <row r="986" spans="1:41" ht="75" x14ac:dyDescent="0.25">
      <c r="A986" s="2">
        <v>195018760678</v>
      </c>
      <c r="B986" t="s">
        <v>71</v>
      </c>
      <c r="C986" t="s">
        <v>72</v>
      </c>
      <c r="D986" t="s">
        <v>2992</v>
      </c>
      <c r="E986" t="s">
        <v>2993</v>
      </c>
      <c r="F986">
        <v>316210</v>
      </c>
      <c r="G986" s="35" t="s">
        <v>2966</v>
      </c>
      <c r="H986" s="31" t="s">
        <v>2994</v>
      </c>
      <c r="J986" t="s">
        <v>77</v>
      </c>
      <c r="M986">
        <v>110</v>
      </c>
      <c r="P986" t="s">
        <v>78</v>
      </c>
      <c r="Q986" s="55">
        <v>99.999999999999986</v>
      </c>
      <c r="R986" s="32">
        <v>55</v>
      </c>
      <c r="S986" s="33">
        <v>0.33</v>
      </c>
      <c r="T986" s="34">
        <f t="shared" si="31"/>
        <v>82.089552238805979</v>
      </c>
      <c r="U986" s="34">
        <f t="shared" si="32"/>
        <v>83.115671641791053</v>
      </c>
      <c r="V986" t="s">
        <v>79</v>
      </c>
      <c r="W986" s="32">
        <v>15</v>
      </c>
      <c r="X986" s="32" t="s">
        <v>80</v>
      </c>
      <c r="AD986" s="1">
        <v>195018760678</v>
      </c>
      <c r="AN986">
        <v>30</v>
      </c>
      <c r="AO986" t="s">
        <v>81</v>
      </c>
    </row>
    <row r="987" spans="1:41" ht="75" x14ac:dyDescent="0.25">
      <c r="A987" s="2">
        <v>195018760821</v>
      </c>
      <c r="B987" t="s">
        <v>71</v>
      </c>
      <c r="C987" t="s">
        <v>72</v>
      </c>
      <c r="D987" t="s">
        <v>2995</v>
      </c>
      <c r="E987" t="s">
        <v>2996</v>
      </c>
      <c r="F987">
        <v>316210</v>
      </c>
      <c r="G987" s="35" t="s">
        <v>2966</v>
      </c>
      <c r="H987" s="31" t="s">
        <v>2997</v>
      </c>
      <c r="J987" t="s">
        <v>77</v>
      </c>
      <c r="M987">
        <v>110</v>
      </c>
      <c r="P987" t="s">
        <v>78</v>
      </c>
      <c r="Q987" s="55">
        <v>99.999999999999986</v>
      </c>
      <c r="R987" s="32">
        <v>55</v>
      </c>
      <c r="S987" s="33">
        <v>0.33</v>
      </c>
      <c r="T987" s="34">
        <f t="shared" si="31"/>
        <v>82.089552238805979</v>
      </c>
      <c r="U987" s="34">
        <f t="shared" si="32"/>
        <v>83.115671641791053</v>
      </c>
      <c r="V987" t="s">
        <v>79</v>
      </c>
      <c r="W987" s="32">
        <v>15</v>
      </c>
      <c r="X987" s="32" t="s">
        <v>80</v>
      </c>
      <c r="AD987" s="1">
        <v>195018760821</v>
      </c>
      <c r="AN987">
        <v>30</v>
      </c>
      <c r="AO987" t="s">
        <v>81</v>
      </c>
    </row>
    <row r="988" spans="1:41" ht="75" x14ac:dyDescent="0.25">
      <c r="A988" s="2">
        <v>195018760685</v>
      </c>
      <c r="B988" t="s">
        <v>71</v>
      </c>
      <c r="C988" t="s">
        <v>72</v>
      </c>
      <c r="D988" t="s">
        <v>2998</v>
      </c>
      <c r="E988" t="s">
        <v>2999</v>
      </c>
      <c r="F988">
        <v>316210</v>
      </c>
      <c r="G988" s="35" t="s">
        <v>2966</v>
      </c>
      <c r="H988" s="31" t="s">
        <v>3000</v>
      </c>
      <c r="J988" t="s">
        <v>77</v>
      </c>
      <c r="M988">
        <v>110</v>
      </c>
      <c r="P988" t="s">
        <v>78</v>
      </c>
      <c r="Q988" s="55">
        <v>99.999999999999986</v>
      </c>
      <c r="R988" s="32">
        <v>55</v>
      </c>
      <c r="S988" s="33">
        <v>0.33</v>
      </c>
      <c r="T988" s="34">
        <f t="shared" si="31"/>
        <v>82.089552238805979</v>
      </c>
      <c r="U988" s="34">
        <f t="shared" si="32"/>
        <v>83.115671641791053</v>
      </c>
      <c r="V988" t="s">
        <v>79</v>
      </c>
      <c r="W988" s="32">
        <v>15</v>
      </c>
      <c r="X988" s="32" t="s">
        <v>80</v>
      </c>
      <c r="AD988" s="1">
        <v>195018760685</v>
      </c>
      <c r="AN988">
        <v>30</v>
      </c>
      <c r="AO988" t="s">
        <v>81</v>
      </c>
    </row>
    <row r="989" spans="1:41" ht="75" x14ac:dyDescent="0.25">
      <c r="A989" s="2">
        <v>195018760838</v>
      </c>
      <c r="B989" t="s">
        <v>71</v>
      </c>
      <c r="C989" t="s">
        <v>72</v>
      </c>
      <c r="D989" t="s">
        <v>3001</v>
      </c>
      <c r="E989" t="s">
        <v>3002</v>
      </c>
      <c r="F989">
        <v>316210</v>
      </c>
      <c r="G989" s="35" t="s">
        <v>2966</v>
      </c>
      <c r="H989" s="31" t="s">
        <v>3003</v>
      </c>
      <c r="J989" t="s">
        <v>77</v>
      </c>
      <c r="M989">
        <v>110</v>
      </c>
      <c r="P989" t="s">
        <v>78</v>
      </c>
      <c r="Q989" s="55">
        <v>99.999999999999986</v>
      </c>
      <c r="R989" s="32">
        <v>55</v>
      </c>
      <c r="S989" s="33">
        <v>0.33</v>
      </c>
      <c r="T989" s="34">
        <f t="shared" si="31"/>
        <v>82.089552238805979</v>
      </c>
      <c r="U989" s="34">
        <f t="shared" si="32"/>
        <v>83.115671641791053</v>
      </c>
      <c r="V989" t="s">
        <v>79</v>
      </c>
      <c r="W989" s="32">
        <v>15</v>
      </c>
      <c r="X989" s="32" t="s">
        <v>80</v>
      </c>
      <c r="AD989" s="1">
        <v>195018760838</v>
      </c>
      <c r="AN989">
        <v>30</v>
      </c>
      <c r="AO989" t="s">
        <v>81</v>
      </c>
    </row>
    <row r="990" spans="1:41" ht="75" x14ac:dyDescent="0.25">
      <c r="A990" s="2">
        <v>195018760692</v>
      </c>
      <c r="B990" t="s">
        <v>71</v>
      </c>
      <c r="C990" t="s">
        <v>72</v>
      </c>
      <c r="D990" t="s">
        <v>3004</v>
      </c>
      <c r="E990" t="s">
        <v>3005</v>
      </c>
      <c r="F990">
        <v>316210</v>
      </c>
      <c r="G990" s="35" t="s">
        <v>2966</v>
      </c>
      <c r="H990" s="31" t="s">
        <v>3006</v>
      </c>
      <c r="J990" t="s">
        <v>77</v>
      </c>
      <c r="M990">
        <v>110</v>
      </c>
      <c r="P990" t="s">
        <v>78</v>
      </c>
      <c r="Q990" s="55">
        <v>99.999999999999986</v>
      </c>
      <c r="R990" s="32">
        <v>55</v>
      </c>
      <c r="S990" s="33">
        <v>0.33</v>
      </c>
      <c r="T990" s="34">
        <f t="shared" si="31"/>
        <v>82.089552238805979</v>
      </c>
      <c r="U990" s="34">
        <f t="shared" si="32"/>
        <v>83.115671641791053</v>
      </c>
      <c r="V990" t="s">
        <v>79</v>
      </c>
      <c r="W990" s="32">
        <v>15</v>
      </c>
      <c r="X990" s="32" t="s">
        <v>80</v>
      </c>
      <c r="AD990" s="1">
        <v>195018760692</v>
      </c>
      <c r="AN990">
        <v>30</v>
      </c>
      <c r="AO990" t="s">
        <v>81</v>
      </c>
    </row>
    <row r="991" spans="1:41" ht="75" x14ac:dyDescent="0.25">
      <c r="A991" s="2">
        <v>195018760845</v>
      </c>
      <c r="B991" t="s">
        <v>71</v>
      </c>
      <c r="C991" t="s">
        <v>72</v>
      </c>
      <c r="D991" t="s">
        <v>3007</v>
      </c>
      <c r="E991" t="s">
        <v>3008</v>
      </c>
      <c r="F991">
        <v>316210</v>
      </c>
      <c r="G991" s="35" t="s">
        <v>2966</v>
      </c>
      <c r="H991" s="31" t="s">
        <v>3009</v>
      </c>
      <c r="J991" t="s">
        <v>77</v>
      </c>
      <c r="M991">
        <v>110</v>
      </c>
      <c r="P991" t="s">
        <v>78</v>
      </c>
      <c r="Q991" s="55">
        <v>99.999999999999986</v>
      </c>
      <c r="R991" s="32">
        <v>55</v>
      </c>
      <c r="S991" s="33">
        <v>0.33</v>
      </c>
      <c r="T991" s="34">
        <f t="shared" si="31"/>
        <v>82.089552238805979</v>
      </c>
      <c r="U991" s="34">
        <f t="shared" si="32"/>
        <v>83.115671641791053</v>
      </c>
      <c r="V991" t="s">
        <v>79</v>
      </c>
      <c r="W991" s="32">
        <v>15</v>
      </c>
      <c r="X991" s="32" t="s">
        <v>80</v>
      </c>
      <c r="AD991" s="1">
        <v>195018760845</v>
      </c>
      <c r="AN991">
        <v>30</v>
      </c>
      <c r="AO991" t="s">
        <v>81</v>
      </c>
    </row>
    <row r="992" spans="1:41" ht="75" x14ac:dyDescent="0.25">
      <c r="A992" s="2">
        <v>195018760708</v>
      </c>
      <c r="B992" t="s">
        <v>71</v>
      </c>
      <c r="C992" t="s">
        <v>72</v>
      </c>
      <c r="D992" t="s">
        <v>3010</v>
      </c>
      <c r="E992" t="s">
        <v>3011</v>
      </c>
      <c r="F992">
        <v>316210</v>
      </c>
      <c r="G992" s="35" t="s">
        <v>2966</v>
      </c>
      <c r="H992" s="31" t="s">
        <v>3012</v>
      </c>
      <c r="J992" t="s">
        <v>77</v>
      </c>
      <c r="M992">
        <v>110</v>
      </c>
      <c r="P992" t="s">
        <v>78</v>
      </c>
      <c r="Q992" s="55">
        <v>99.999999999999986</v>
      </c>
      <c r="R992" s="32">
        <v>55</v>
      </c>
      <c r="S992" s="33">
        <v>0.33</v>
      </c>
      <c r="T992" s="34">
        <f t="shared" si="31"/>
        <v>82.089552238805979</v>
      </c>
      <c r="U992" s="34">
        <f t="shared" si="32"/>
        <v>83.115671641791053</v>
      </c>
      <c r="V992" t="s">
        <v>79</v>
      </c>
      <c r="W992" s="32">
        <v>15</v>
      </c>
      <c r="X992" s="32" t="s">
        <v>80</v>
      </c>
      <c r="AD992" s="1">
        <v>195018760708</v>
      </c>
      <c r="AN992">
        <v>30</v>
      </c>
      <c r="AO992" t="s">
        <v>81</v>
      </c>
    </row>
    <row r="993" spans="1:41" ht="75" x14ac:dyDescent="0.25">
      <c r="A993" s="2">
        <v>195018760852</v>
      </c>
      <c r="B993" t="s">
        <v>71</v>
      </c>
      <c r="C993" t="s">
        <v>72</v>
      </c>
      <c r="D993" t="s">
        <v>3013</v>
      </c>
      <c r="E993" t="s">
        <v>3014</v>
      </c>
      <c r="F993">
        <v>316210</v>
      </c>
      <c r="G993" s="35" t="s">
        <v>2966</v>
      </c>
      <c r="H993" s="31" t="s">
        <v>3015</v>
      </c>
      <c r="J993" t="s">
        <v>77</v>
      </c>
      <c r="M993">
        <v>110</v>
      </c>
      <c r="P993" t="s">
        <v>78</v>
      </c>
      <c r="Q993" s="55">
        <v>99.999999999999986</v>
      </c>
      <c r="R993" s="32">
        <v>55</v>
      </c>
      <c r="S993" s="33">
        <v>0.33</v>
      </c>
      <c r="T993" s="34">
        <f t="shared" si="31"/>
        <v>82.089552238805979</v>
      </c>
      <c r="U993" s="34">
        <f t="shared" si="32"/>
        <v>83.115671641791053</v>
      </c>
      <c r="V993" t="s">
        <v>79</v>
      </c>
      <c r="W993" s="32">
        <v>15</v>
      </c>
      <c r="X993" s="32" t="s">
        <v>80</v>
      </c>
      <c r="AD993" s="1">
        <v>195018760852</v>
      </c>
      <c r="AN993">
        <v>30</v>
      </c>
      <c r="AO993" t="s">
        <v>81</v>
      </c>
    </row>
    <row r="994" spans="1:41" ht="75" x14ac:dyDescent="0.25">
      <c r="A994" s="2">
        <v>195018760715</v>
      </c>
      <c r="B994" t="s">
        <v>71</v>
      </c>
      <c r="C994" t="s">
        <v>72</v>
      </c>
      <c r="D994" t="s">
        <v>3016</v>
      </c>
      <c r="E994" t="s">
        <v>3017</v>
      </c>
      <c r="F994">
        <v>316210</v>
      </c>
      <c r="G994" s="35" t="s">
        <v>2966</v>
      </c>
      <c r="H994" s="31" t="s">
        <v>3018</v>
      </c>
      <c r="J994" t="s">
        <v>77</v>
      </c>
      <c r="M994">
        <v>110</v>
      </c>
      <c r="P994" t="s">
        <v>78</v>
      </c>
      <c r="Q994" s="55">
        <v>99.999999999999986</v>
      </c>
      <c r="R994" s="32">
        <v>55</v>
      </c>
      <c r="S994" s="33">
        <v>0.33</v>
      </c>
      <c r="T994" s="34">
        <f t="shared" si="31"/>
        <v>82.089552238805979</v>
      </c>
      <c r="U994" s="34">
        <f t="shared" si="32"/>
        <v>83.115671641791053</v>
      </c>
      <c r="V994" t="s">
        <v>79</v>
      </c>
      <c r="W994" s="32">
        <v>15</v>
      </c>
      <c r="X994" s="32" t="s">
        <v>80</v>
      </c>
      <c r="AD994" s="1">
        <v>195018760715</v>
      </c>
      <c r="AN994">
        <v>30</v>
      </c>
      <c r="AO994" t="s">
        <v>81</v>
      </c>
    </row>
    <row r="995" spans="1:41" ht="75" x14ac:dyDescent="0.25">
      <c r="A995" s="2">
        <v>195018760869</v>
      </c>
      <c r="B995" t="s">
        <v>71</v>
      </c>
      <c r="C995" t="s">
        <v>72</v>
      </c>
      <c r="D995" t="s">
        <v>3019</v>
      </c>
      <c r="E995" t="s">
        <v>3020</v>
      </c>
      <c r="F995">
        <v>316210</v>
      </c>
      <c r="G995" s="35" t="s">
        <v>2966</v>
      </c>
      <c r="H995" s="31" t="s">
        <v>3021</v>
      </c>
      <c r="J995" t="s">
        <v>77</v>
      </c>
      <c r="M995">
        <v>110</v>
      </c>
      <c r="P995" t="s">
        <v>78</v>
      </c>
      <c r="Q995" s="55">
        <v>99.999999999999986</v>
      </c>
      <c r="R995" s="32">
        <v>55</v>
      </c>
      <c r="S995" s="33">
        <v>0.33</v>
      </c>
      <c r="T995" s="34">
        <f t="shared" si="31"/>
        <v>82.089552238805979</v>
      </c>
      <c r="U995" s="34">
        <f t="shared" si="32"/>
        <v>83.115671641791053</v>
      </c>
      <c r="V995" t="s">
        <v>79</v>
      </c>
      <c r="W995" s="32">
        <v>15</v>
      </c>
      <c r="X995" s="32" t="s">
        <v>80</v>
      </c>
      <c r="AD995" s="1">
        <v>195018760869</v>
      </c>
      <c r="AN995">
        <v>30</v>
      </c>
      <c r="AO995" t="s">
        <v>81</v>
      </c>
    </row>
    <row r="996" spans="1:41" ht="75" x14ac:dyDescent="0.25">
      <c r="A996" s="2">
        <v>195018760722</v>
      </c>
      <c r="B996" t="s">
        <v>71</v>
      </c>
      <c r="C996" t="s">
        <v>72</v>
      </c>
      <c r="D996" t="s">
        <v>3022</v>
      </c>
      <c r="E996" t="s">
        <v>3023</v>
      </c>
      <c r="F996">
        <v>316210</v>
      </c>
      <c r="G996" s="35" t="s">
        <v>2966</v>
      </c>
      <c r="H996" s="31" t="s">
        <v>3024</v>
      </c>
      <c r="J996" t="s">
        <v>77</v>
      </c>
      <c r="M996">
        <v>110</v>
      </c>
      <c r="P996" t="s">
        <v>78</v>
      </c>
      <c r="Q996" s="55">
        <v>99.999999999999986</v>
      </c>
      <c r="R996" s="32">
        <v>55</v>
      </c>
      <c r="S996" s="33">
        <v>0.33</v>
      </c>
      <c r="T996" s="34">
        <f t="shared" si="31"/>
        <v>82.089552238805979</v>
      </c>
      <c r="U996" s="34">
        <f t="shared" si="32"/>
        <v>83.115671641791053</v>
      </c>
      <c r="V996" t="s">
        <v>79</v>
      </c>
      <c r="W996" s="32">
        <v>15</v>
      </c>
      <c r="X996" s="32" t="s">
        <v>80</v>
      </c>
      <c r="AD996" s="1">
        <v>195018760722</v>
      </c>
      <c r="AN996">
        <v>30</v>
      </c>
      <c r="AO996" t="s">
        <v>81</v>
      </c>
    </row>
    <row r="997" spans="1:41" ht="75" x14ac:dyDescent="0.25">
      <c r="A997" s="2">
        <v>195018760876</v>
      </c>
      <c r="B997" t="s">
        <v>71</v>
      </c>
      <c r="C997" t="s">
        <v>72</v>
      </c>
      <c r="D997" t="s">
        <v>3025</v>
      </c>
      <c r="E997" t="s">
        <v>3026</v>
      </c>
      <c r="F997">
        <v>316210</v>
      </c>
      <c r="G997" s="35" t="s">
        <v>2966</v>
      </c>
      <c r="H997" s="31" t="s">
        <v>3027</v>
      </c>
      <c r="J997" t="s">
        <v>77</v>
      </c>
      <c r="M997">
        <v>110</v>
      </c>
      <c r="P997" t="s">
        <v>78</v>
      </c>
      <c r="Q997" s="55">
        <v>99.999999999999986</v>
      </c>
      <c r="R997" s="32">
        <v>55</v>
      </c>
      <c r="S997" s="33">
        <v>0.33</v>
      </c>
      <c r="T997" s="34">
        <f t="shared" si="31"/>
        <v>82.089552238805979</v>
      </c>
      <c r="U997" s="34">
        <f t="shared" si="32"/>
        <v>83.115671641791053</v>
      </c>
      <c r="V997" t="s">
        <v>79</v>
      </c>
      <c r="W997" s="32">
        <v>15</v>
      </c>
      <c r="X997" s="32" t="s">
        <v>80</v>
      </c>
      <c r="AD997" s="1">
        <v>195018760876</v>
      </c>
      <c r="AN997">
        <v>30</v>
      </c>
      <c r="AO997" t="s">
        <v>81</v>
      </c>
    </row>
    <row r="998" spans="1:41" ht="75" x14ac:dyDescent="0.25">
      <c r="A998" s="2">
        <v>195018760739</v>
      </c>
      <c r="B998" t="s">
        <v>71</v>
      </c>
      <c r="C998" t="s">
        <v>72</v>
      </c>
      <c r="D998" t="s">
        <v>3028</v>
      </c>
      <c r="E998" t="s">
        <v>3029</v>
      </c>
      <c r="F998">
        <v>316210</v>
      </c>
      <c r="G998" s="35" t="s">
        <v>2966</v>
      </c>
      <c r="H998" s="31" t="s">
        <v>3030</v>
      </c>
      <c r="J998" t="s">
        <v>77</v>
      </c>
      <c r="M998">
        <v>110</v>
      </c>
      <c r="P998" t="s">
        <v>78</v>
      </c>
      <c r="Q998" s="55">
        <v>99.999999999999986</v>
      </c>
      <c r="R998" s="32">
        <v>55</v>
      </c>
      <c r="S998" s="33">
        <v>0.33</v>
      </c>
      <c r="T998" s="34">
        <f t="shared" si="31"/>
        <v>82.089552238805979</v>
      </c>
      <c r="U998" s="34">
        <f t="shared" si="32"/>
        <v>83.115671641791053</v>
      </c>
      <c r="V998" t="s">
        <v>79</v>
      </c>
      <c r="W998" s="32">
        <v>15</v>
      </c>
      <c r="X998" s="32" t="s">
        <v>80</v>
      </c>
      <c r="AD998" s="1">
        <v>195018760739</v>
      </c>
      <c r="AN998">
        <v>30</v>
      </c>
      <c r="AO998" t="s">
        <v>81</v>
      </c>
    </row>
    <row r="999" spans="1:41" ht="75" x14ac:dyDescent="0.25">
      <c r="A999" s="2">
        <v>195018760883</v>
      </c>
      <c r="B999" t="s">
        <v>71</v>
      </c>
      <c r="C999" t="s">
        <v>72</v>
      </c>
      <c r="D999" t="s">
        <v>3031</v>
      </c>
      <c r="E999" t="s">
        <v>3032</v>
      </c>
      <c r="F999">
        <v>316210</v>
      </c>
      <c r="G999" s="35" t="s">
        <v>2966</v>
      </c>
      <c r="H999" s="31" t="s">
        <v>3033</v>
      </c>
      <c r="J999" t="s">
        <v>77</v>
      </c>
      <c r="M999">
        <v>110</v>
      </c>
      <c r="P999" t="s">
        <v>78</v>
      </c>
      <c r="Q999" s="55">
        <v>99.999999999999986</v>
      </c>
      <c r="R999" s="32">
        <v>55</v>
      </c>
      <c r="S999" s="33">
        <v>0.33</v>
      </c>
      <c r="T999" s="34">
        <f t="shared" si="31"/>
        <v>82.089552238805979</v>
      </c>
      <c r="U999" s="34">
        <f t="shared" si="32"/>
        <v>83.115671641791053</v>
      </c>
      <c r="V999" t="s">
        <v>79</v>
      </c>
      <c r="W999" s="32">
        <v>15</v>
      </c>
      <c r="X999" s="32" t="s">
        <v>80</v>
      </c>
      <c r="AD999" s="1">
        <v>195018760883</v>
      </c>
      <c r="AN999">
        <v>30</v>
      </c>
      <c r="AO999" t="s">
        <v>81</v>
      </c>
    </row>
    <row r="1000" spans="1:41" ht="75" x14ac:dyDescent="0.25">
      <c r="A1000" s="2">
        <v>195018760746</v>
      </c>
      <c r="B1000" t="s">
        <v>71</v>
      </c>
      <c r="C1000" t="s">
        <v>72</v>
      </c>
      <c r="D1000" t="s">
        <v>3034</v>
      </c>
      <c r="E1000" t="s">
        <v>3035</v>
      </c>
      <c r="F1000">
        <v>316210</v>
      </c>
      <c r="G1000" s="35" t="s">
        <v>2966</v>
      </c>
      <c r="H1000" s="31" t="s">
        <v>3036</v>
      </c>
      <c r="J1000" t="s">
        <v>77</v>
      </c>
      <c r="M1000">
        <v>110</v>
      </c>
      <c r="P1000" t="s">
        <v>78</v>
      </c>
      <c r="Q1000" s="55">
        <v>99.999999999999986</v>
      </c>
      <c r="R1000" s="32">
        <v>55</v>
      </c>
      <c r="S1000" s="33">
        <v>0.33</v>
      </c>
      <c r="T1000" s="34">
        <f t="shared" si="31"/>
        <v>82.089552238805979</v>
      </c>
      <c r="U1000" s="34">
        <f t="shared" si="32"/>
        <v>83.115671641791053</v>
      </c>
      <c r="V1000" t="s">
        <v>79</v>
      </c>
      <c r="W1000" s="32">
        <v>15</v>
      </c>
      <c r="X1000" s="32" t="s">
        <v>80</v>
      </c>
      <c r="AD1000" s="1">
        <v>195018760746</v>
      </c>
      <c r="AN1000">
        <v>30</v>
      </c>
      <c r="AO1000" t="s">
        <v>81</v>
      </c>
    </row>
    <row r="1001" spans="1:41" ht="75" x14ac:dyDescent="0.25">
      <c r="A1001" s="2">
        <v>195018760890</v>
      </c>
      <c r="B1001" t="s">
        <v>71</v>
      </c>
      <c r="C1001" t="s">
        <v>72</v>
      </c>
      <c r="D1001" t="s">
        <v>3037</v>
      </c>
      <c r="E1001" t="s">
        <v>3038</v>
      </c>
      <c r="F1001">
        <v>316210</v>
      </c>
      <c r="G1001" s="35" t="s">
        <v>2966</v>
      </c>
      <c r="H1001" s="31" t="s">
        <v>3039</v>
      </c>
      <c r="J1001" t="s">
        <v>77</v>
      </c>
      <c r="M1001">
        <v>110</v>
      </c>
      <c r="P1001" t="s">
        <v>78</v>
      </c>
      <c r="Q1001" s="55">
        <v>99.999999999999986</v>
      </c>
      <c r="R1001" s="32">
        <v>55</v>
      </c>
      <c r="S1001" s="33">
        <v>0.33</v>
      </c>
      <c r="T1001" s="34">
        <f t="shared" si="31"/>
        <v>82.089552238805979</v>
      </c>
      <c r="U1001" s="34">
        <f t="shared" si="32"/>
        <v>83.115671641791053</v>
      </c>
      <c r="V1001" t="s">
        <v>79</v>
      </c>
      <c r="W1001" s="32">
        <v>15</v>
      </c>
      <c r="X1001" s="32" t="s">
        <v>80</v>
      </c>
      <c r="AD1001" s="1">
        <v>195018760890</v>
      </c>
      <c r="AN1001">
        <v>30</v>
      </c>
      <c r="AO1001" t="s">
        <v>81</v>
      </c>
    </row>
    <row r="1002" spans="1:41" ht="75" x14ac:dyDescent="0.25">
      <c r="A1002" s="2">
        <v>195018760753</v>
      </c>
      <c r="B1002" t="s">
        <v>71</v>
      </c>
      <c r="C1002" t="s">
        <v>72</v>
      </c>
      <c r="D1002" t="s">
        <v>3040</v>
      </c>
      <c r="E1002" t="s">
        <v>3041</v>
      </c>
      <c r="F1002">
        <v>316210</v>
      </c>
      <c r="G1002" s="35" t="s">
        <v>2966</v>
      </c>
      <c r="H1002" s="31" t="s">
        <v>3042</v>
      </c>
      <c r="J1002" t="s">
        <v>77</v>
      </c>
      <c r="M1002">
        <v>110</v>
      </c>
      <c r="P1002" t="s">
        <v>78</v>
      </c>
      <c r="Q1002" s="55">
        <v>99.999999999999986</v>
      </c>
      <c r="R1002" s="32">
        <v>55</v>
      </c>
      <c r="S1002" s="33">
        <v>0.33</v>
      </c>
      <c r="T1002" s="34">
        <f t="shared" si="31"/>
        <v>82.089552238805979</v>
      </c>
      <c r="U1002" s="34">
        <f t="shared" si="32"/>
        <v>83.115671641791053</v>
      </c>
      <c r="V1002" t="s">
        <v>79</v>
      </c>
      <c r="W1002" s="32">
        <v>15</v>
      </c>
      <c r="X1002" s="32" t="s">
        <v>80</v>
      </c>
      <c r="AD1002" s="1">
        <v>195018760753</v>
      </c>
      <c r="AN1002">
        <v>30</v>
      </c>
      <c r="AO1002" t="s">
        <v>81</v>
      </c>
    </row>
    <row r="1003" spans="1:41" ht="75" x14ac:dyDescent="0.25">
      <c r="A1003" s="2">
        <v>195018760906</v>
      </c>
      <c r="B1003" t="s">
        <v>71</v>
      </c>
      <c r="C1003" t="s">
        <v>72</v>
      </c>
      <c r="D1003" t="s">
        <v>3043</v>
      </c>
      <c r="E1003" t="s">
        <v>3044</v>
      </c>
      <c r="F1003">
        <v>316210</v>
      </c>
      <c r="G1003" s="35" t="s">
        <v>2966</v>
      </c>
      <c r="H1003" s="31" t="s">
        <v>3045</v>
      </c>
      <c r="J1003" t="s">
        <v>77</v>
      </c>
      <c r="M1003">
        <v>110</v>
      </c>
      <c r="P1003" t="s">
        <v>78</v>
      </c>
      <c r="Q1003" s="55">
        <v>99.999999999999986</v>
      </c>
      <c r="R1003" s="32">
        <v>55</v>
      </c>
      <c r="S1003" s="33">
        <v>0.33</v>
      </c>
      <c r="T1003" s="34">
        <f t="shared" si="31"/>
        <v>82.089552238805979</v>
      </c>
      <c r="U1003" s="34">
        <f t="shared" si="32"/>
        <v>83.115671641791053</v>
      </c>
      <c r="V1003" t="s">
        <v>79</v>
      </c>
      <c r="W1003" s="32">
        <v>15</v>
      </c>
      <c r="X1003" s="32" t="s">
        <v>80</v>
      </c>
      <c r="AD1003" s="1">
        <v>195018760906</v>
      </c>
      <c r="AN1003">
        <v>30</v>
      </c>
      <c r="AO1003" t="s">
        <v>81</v>
      </c>
    </row>
    <row r="1004" spans="1:41" ht="75" x14ac:dyDescent="0.25">
      <c r="A1004" s="2">
        <v>195018760760</v>
      </c>
      <c r="B1004" t="s">
        <v>71</v>
      </c>
      <c r="C1004" t="s">
        <v>72</v>
      </c>
      <c r="D1004" t="s">
        <v>3046</v>
      </c>
      <c r="E1004" t="s">
        <v>3047</v>
      </c>
      <c r="F1004">
        <v>316210</v>
      </c>
      <c r="G1004" s="35" t="s">
        <v>2966</v>
      </c>
      <c r="H1004" s="31" t="s">
        <v>3048</v>
      </c>
      <c r="J1004" t="s">
        <v>77</v>
      </c>
      <c r="M1004">
        <v>110</v>
      </c>
      <c r="P1004" t="s">
        <v>78</v>
      </c>
      <c r="Q1004" s="55">
        <v>99.999999999999986</v>
      </c>
      <c r="R1004" s="32">
        <v>55</v>
      </c>
      <c r="S1004" s="33">
        <v>0.33</v>
      </c>
      <c r="T1004" s="34">
        <f t="shared" si="31"/>
        <v>82.089552238805979</v>
      </c>
      <c r="U1004" s="34">
        <f t="shared" si="32"/>
        <v>83.115671641791053</v>
      </c>
      <c r="V1004" t="s">
        <v>79</v>
      </c>
      <c r="W1004" s="32">
        <v>15</v>
      </c>
      <c r="X1004" s="32" t="s">
        <v>80</v>
      </c>
      <c r="AD1004" s="1">
        <v>195018760760</v>
      </c>
      <c r="AN1004">
        <v>30</v>
      </c>
      <c r="AO1004" t="s">
        <v>81</v>
      </c>
    </row>
    <row r="1005" spans="1:41" ht="90" x14ac:dyDescent="0.25">
      <c r="A1005" s="2">
        <v>195018761057</v>
      </c>
      <c r="B1005" t="s">
        <v>71</v>
      </c>
      <c r="C1005" t="s">
        <v>72</v>
      </c>
      <c r="D1005" t="s">
        <v>3049</v>
      </c>
      <c r="E1005" t="s">
        <v>3050</v>
      </c>
      <c r="F1005">
        <v>316210</v>
      </c>
      <c r="G1005" s="35" t="s">
        <v>3051</v>
      </c>
      <c r="H1005" s="31" t="s">
        <v>3052</v>
      </c>
      <c r="J1005" t="s">
        <v>77</v>
      </c>
      <c r="M1005">
        <v>120</v>
      </c>
      <c r="P1005" t="s">
        <v>78</v>
      </c>
      <c r="Q1005" s="55">
        <v>109.09090909090908</v>
      </c>
      <c r="R1005" s="32">
        <v>60</v>
      </c>
      <c r="S1005" s="33">
        <v>0.33</v>
      </c>
      <c r="T1005" s="34">
        <f t="shared" si="31"/>
        <v>89.552238805970163</v>
      </c>
      <c r="U1005" s="34">
        <f t="shared" si="32"/>
        <v>90.671641791044792</v>
      </c>
      <c r="V1005" t="s">
        <v>79</v>
      </c>
      <c r="W1005" s="32">
        <v>15</v>
      </c>
      <c r="X1005" s="32" t="s">
        <v>80</v>
      </c>
      <c r="AD1005" s="1">
        <v>195018761057</v>
      </c>
      <c r="AN1005">
        <v>30</v>
      </c>
      <c r="AO1005" t="s">
        <v>81</v>
      </c>
    </row>
    <row r="1006" spans="1:41" ht="90" x14ac:dyDescent="0.25">
      <c r="A1006" s="2">
        <v>195018760913</v>
      </c>
      <c r="B1006" t="s">
        <v>71</v>
      </c>
      <c r="C1006" t="s">
        <v>72</v>
      </c>
      <c r="D1006" t="s">
        <v>3053</v>
      </c>
      <c r="E1006" t="s">
        <v>3054</v>
      </c>
      <c r="F1006">
        <v>316210</v>
      </c>
      <c r="G1006" s="35" t="s">
        <v>3051</v>
      </c>
      <c r="H1006" s="31" t="s">
        <v>3055</v>
      </c>
      <c r="J1006" t="s">
        <v>77</v>
      </c>
      <c r="M1006">
        <v>120</v>
      </c>
      <c r="P1006" t="s">
        <v>78</v>
      </c>
      <c r="Q1006" s="55">
        <v>109.09090909090908</v>
      </c>
      <c r="R1006" s="32">
        <v>60</v>
      </c>
      <c r="S1006" s="33">
        <v>0.33</v>
      </c>
      <c r="T1006" s="34">
        <f t="shared" si="31"/>
        <v>89.552238805970163</v>
      </c>
      <c r="U1006" s="34">
        <f t="shared" si="32"/>
        <v>90.671641791044792</v>
      </c>
      <c r="V1006" t="s">
        <v>79</v>
      </c>
      <c r="W1006" s="32">
        <v>15</v>
      </c>
      <c r="X1006" s="32" t="s">
        <v>80</v>
      </c>
      <c r="AD1006" s="1">
        <v>195018760913</v>
      </c>
      <c r="AN1006">
        <v>30</v>
      </c>
      <c r="AO1006" t="s">
        <v>81</v>
      </c>
    </row>
    <row r="1007" spans="1:41" ht="90" x14ac:dyDescent="0.25">
      <c r="A1007" s="2">
        <v>195018761064</v>
      </c>
      <c r="B1007" t="s">
        <v>71</v>
      </c>
      <c r="C1007" t="s">
        <v>72</v>
      </c>
      <c r="D1007" t="s">
        <v>3056</v>
      </c>
      <c r="E1007" t="s">
        <v>3057</v>
      </c>
      <c r="F1007">
        <v>316210</v>
      </c>
      <c r="G1007" s="35" t="s">
        <v>3051</v>
      </c>
      <c r="H1007" s="31" t="s">
        <v>3058</v>
      </c>
      <c r="J1007" t="s">
        <v>77</v>
      </c>
      <c r="M1007">
        <v>120</v>
      </c>
      <c r="P1007" t="s">
        <v>78</v>
      </c>
      <c r="Q1007" s="55">
        <v>109.09090909090908</v>
      </c>
      <c r="R1007" s="32">
        <v>60</v>
      </c>
      <c r="S1007" s="33">
        <v>0.33</v>
      </c>
      <c r="T1007" s="34">
        <f t="shared" si="31"/>
        <v>89.552238805970163</v>
      </c>
      <c r="U1007" s="34">
        <f t="shared" si="32"/>
        <v>90.671641791044792</v>
      </c>
      <c r="V1007" t="s">
        <v>79</v>
      </c>
      <c r="W1007" s="32">
        <v>15</v>
      </c>
      <c r="X1007" s="32" t="s">
        <v>80</v>
      </c>
      <c r="AD1007" s="1">
        <v>195018761064</v>
      </c>
      <c r="AN1007">
        <v>30</v>
      </c>
      <c r="AO1007" t="s">
        <v>81</v>
      </c>
    </row>
    <row r="1008" spans="1:41" ht="90" x14ac:dyDescent="0.25">
      <c r="A1008" s="2">
        <v>195018760920</v>
      </c>
      <c r="B1008" t="s">
        <v>71</v>
      </c>
      <c r="C1008" t="s">
        <v>72</v>
      </c>
      <c r="D1008" t="s">
        <v>3059</v>
      </c>
      <c r="E1008" t="s">
        <v>3060</v>
      </c>
      <c r="F1008">
        <v>316210</v>
      </c>
      <c r="G1008" s="35" t="s">
        <v>3051</v>
      </c>
      <c r="H1008" s="31" t="s">
        <v>3061</v>
      </c>
      <c r="J1008" t="s">
        <v>77</v>
      </c>
      <c r="M1008">
        <v>120</v>
      </c>
      <c r="P1008" t="s">
        <v>78</v>
      </c>
      <c r="Q1008" s="55">
        <v>109.09090909090908</v>
      </c>
      <c r="R1008" s="32">
        <v>60</v>
      </c>
      <c r="S1008" s="33">
        <v>0.33</v>
      </c>
      <c r="T1008" s="34">
        <f t="shared" si="31"/>
        <v>89.552238805970163</v>
      </c>
      <c r="U1008" s="34">
        <f t="shared" si="32"/>
        <v>90.671641791044792</v>
      </c>
      <c r="V1008" t="s">
        <v>79</v>
      </c>
      <c r="W1008" s="32">
        <v>15</v>
      </c>
      <c r="X1008" s="32" t="s">
        <v>80</v>
      </c>
      <c r="AD1008" s="1">
        <v>195018760920</v>
      </c>
      <c r="AN1008">
        <v>30</v>
      </c>
      <c r="AO1008" t="s">
        <v>81</v>
      </c>
    </row>
    <row r="1009" spans="1:41" ht="90" x14ac:dyDescent="0.25">
      <c r="A1009" s="2">
        <v>195018761071</v>
      </c>
      <c r="B1009" t="s">
        <v>71</v>
      </c>
      <c r="C1009" t="s">
        <v>72</v>
      </c>
      <c r="D1009" t="s">
        <v>3062</v>
      </c>
      <c r="E1009" t="s">
        <v>3063</v>
      </c>
      <c r="F1009">
        <v>316210</v>
      </c>
      <c r="G1009" s="35" t="s">
        <v>3051</v>
      </c>
      <c r="H1009" s="31" t="s">
        <v>3064</v>
      </c>
      <c r="J1009" t="s">
        <v>77</v>
      </c>
      <c r="M1009">
        <v>120</v>
      </c>
      <c r="P1009" t="s">
        <v>78</v>
      </c>
      <c r="Q1009" s="55">
        <v>109.09090909090908</v>
      </c>
      <c r="R1009" s="32">
        <v>60</v>
      </c>
      <c r="S1009" s="33">
        <v>0.33</v>
      </c>
      <c r="T1009" s="34">
        <f t="shared" si="31"/>
        <v>89.552238805970163</v>
      </c>
      <c r="U1009" s="34">
        <f t="shared" si="32"/>
        <v>90.671641791044792</v>
      </c>
      <c r="V1009" t="s">
        <v>79</v>
      </c>
      <c r="W1009" s="32">
        <v>15</v>
      </c>
      <c r="X1009" s="32" t="s">
        <v>80</v>
      </c>
      <c r="AD1009" s="1">
        <v>195018761071</v>
      </c>
      <c r="AN1009">
        <v>30</v>
      </c>
      <c r="AO1009" t="s">
        <v>81</v>
      </c>
    </row>
    <row r="1010" spans="1:41" ht="90" x14ac:dyDescent="0.25">
      <c r="A1010" s="2">
        <v>195018760937</v>
      </c>
      <c r="B1010" t="s">
        <v>71</v>
      </c>
      <c r="C1010" t="s">
        <v>72</v>
      </c>
      <c r="D1010" t="s">
        <v>3065</v>
      </c>
      <c r="E1010" t="s">
        <v>3066</v>
      </c>
      <c r="F1010">
        <v>316210</v>
      </c>
      <c r="G1010" s="35" t="s">
        <v>3051</v>
      </c>
      <c r="H1010" s="31" t="s">
        <v>3067</v>
      </c>
      <c r="J1010" t="s">
        <v>77</v>
      </c>
      <c r="M1010">
        <v>120</v>
      </c>
      <c r="P1010" t="s">
        <v>78</v>
      </c>
      <c r="Q1010" s="55">
        <v>109.09090909090908</v>
      </c>
      <c r="R1010" s="32">
        <v>60</v>
      </c>
      <c r="S1010" s="33">
        <v>0.33</v>
      </c>
      <c r="T1010" s="34">
        <f t="shared" si="31"/>
        <v>89.552238805970163</v>
      </c>
      <c r="U1010" s="34">
        <f t="shared" si="32"/>
        <v>90.671641791044792</v>
      </c>
      <c r="V1010" t="s">
        <v>79</v>
      </c>
      <c r="W1010" s="32">
        <v>15</v>
      </c>
      <c r="X1010" s="32" t="s">
        <v>80</v>
      </c>
      <c r="AD1010" s="1">
        <v>195018760937</v>
      </c>
      <c r="AN1010">
        <v>30</v>
      </c>
      <c r="AO1010" t="s">
        <v>81</v>
      </c>
    </row>
    <row r="1011" spans="1:41" ht="90" x14ac:dyDescent="0.25">
      <c r="A1011" s="2">
        <v>195018761088</v>
      </c>
      <c r="B1011" t="s">
        <v>71</v>
      </c>
      <c r="C1011" t="s">
        <v>72</v>
      </c>
      <c r="D1011" t="s">
        <v>3068</v>
      </c>
      <c r="E1011" t="s">
        <v>3069</v>
      </c>
      <c r="F1011">
        <v>316210</v>
      </c>
      <c r="G1011" s="35" t="s">
        <v>3051</v>
      </c>
      <c r="H1011" s="31" t="s">
        <v>3070</v>
      </c>
      <c r="J1011" t="s">
        <v>77</v>
      </c>
      <c r="M1011">
        <v>120</v>
      </c>
      <c r="P1011" t="s">
        <v>78</v>
      </c>
      <c r="Q1011" s="55">
        <v>109.09090909090908</v>
      </c>
      <c r="R1011" s="32">
        <v>60</v>
      </c>
      <c r="S1011" s="33">
        <v>0.33</v>
      </c>
      <c r="T1011" s="34">
        <f t="shared" si="31"/>
        <v>89.552238805970163</v>
      </c>
      <c r="U1011" s="34">
        <f t="shared" si="32"/>
        <v>90.671641791044792</v>
      </c>
      <c r="V1011" t="s">
        <v>79</v>
      </c>
      <c r="W1011" s="32">
        <v>15</v>
      </c>
      <c r="X1011" s="32" t="s">
        <v>80</v>
      </c>
      <c r="AD1011" s="1">
        <v>195018761088</v>
      </c>
      <c r="AN1011">
        <v>30</v>
      </c>
      <c r="AO1011" t="s">
        <v>81</v>
      </c>
    </row>
    <row r="1012" spans="1:41" ht="90" x14ac:dyDescent="0.25">
      <c r="A1012" s="2">
        <v>195018760944</v>
      </c>
      <c r="B1012" t="s">
        <v>71</v>
      </c>
      <c r="C1012" t="s">
        <v>72</v>
      </c>
      <c r="D1012" t="s">
        <v>3071</v>
      </c>
      <c r="E1012" t="s">
        <v>3072</v>
      </c>
      <c r="F1012">
        <v>316210</v>
      </c>
      <c r="G1012" s="35" t="s">
        <v>3051</v>
      </c>
      <c r="H1012" s="31" t="s">
        <v>3073</v>
      </c>
      <c r="J1012" t="s">
        <v>77</v>
      </c>
      <c r="M1012">
        <v>120</v>
      </c>
      <c r="P1012" t="s">
        <v>78</v>
      </c>
      <c r="Q1012" s="55">
        <v>109.09090909090908</v>
      </c>
      <c r="R1012" s="32">
        <v>60</v>
      </c>
      <c r="S1012" s="33">
        <v>0.33</v>
      </c>
      <c r="T1012" s="34">
        <f t="shared" si="31"/>
        <v>89.552238805970163</v>
      </c>
      <c r="U1012" s="34">
        <f t="shared" si="32"/>
        <v>90.671641791044792</v>
      </c>
      <c r="V1012" t="s">
        <v>79</v>
      </c>
      <c r="W1012" s="32">
        <v>15</v>
      </c>
      <c r="X1012" s="32" t="s">
        <v>80</v>
      </c>
      <c r="AD1012" s="1">
        <v>195018760944</v>
      </c>
      <c r="AN1012">
        <v>30</v>
      </c>
      <c r="AO1012" t="s">
        <v>81</v>
      </c>
    </row>
    <row r="1013" spans="1:41" ht="90" x14ac:dyDescent="0.25">
      <c r="A1013" s="2">
        <v>195018761095</v>
      </c>
      <c r="B1013" t="s">
        <v>71</v>
      </c>
      <c r="C1013" t="s">
        <v>72</v>
      </c>
      <c r="D1013" t="s">
        <v>3074</v>
      </c>
      <c r="E1013" t="s">
        <v>3075</v>
      </c>
      <c r="F1013">
        <v>316210</v>
      </c>
      <c r="G1013" s="35" t="s">
        <v>3051</v>
      </c>
      <c r="H1013" s="31" t="s">
        <v>3076</v>
      </c>
      <c r="J1013" t="s">
        <v>77</v>
      </c>
      <c r="M1013">
        <v>120</v>
      </c>
      <c r="P1013" t="s">
        <v>78</v>
      </c>
      <c r="Q1013" s="55">
        <v>109.09090909090908</v>
      </c>
      <c r="R1013" s="32">
        <v>60</v>
      </c>
      <c r="S1013" s="33">
        <v>0.33</v>
      </c>
      <c r="T1013" s="34">
        <f t="shared" si="31"/>
        <v>89.552238805970163</v>
      </c>
      <c r="U1013" s="34">
        <f t="shared" si="32"/>
        <v>90.671641791044792</v>
      </c>
      <c r="V1013" t="s">
        <v>79</v>
      </c>
      <c r="W1013" s="32">
        <v>15</v>
      </c>
      <c r="X1013" s="32" t="s">
        <v>80</v>
      </c>
      <c r="AD1013" s="1">
        <v>195018761095</v>
      </c>
      <c r="AN1013">
        <v>30</v>
      </c>
      <c r="AO1013" t="s">
        <v>81</v>
      </c>
    </row>
    <row r="1014" spans="1:41" ht="90" x14ac:dyDescent="0.25">
      <c r="A1014" s="2">
        <v>195018760951</v>
      </c>
      <c r="B1014" t="s">
        <v>71</v>
      </c>
      <c r="C1014" t="s">
        <v>72</v>
      </c>
      <c r="D1014" t="s">
        <v>3077</v>
      </c>
      <c r="E1014" t="s">
        <v>3078</v>
      </c>
      <c r="F1014">
        <v>316210</v>
      </c>
      <c r="G1014" s="35" t="s">
        <v>3051</v>
      </c>
      <c r="H1014" s="31" t="s">
        <v>3079</v>
      </c>
      <c r="J1014" t="s">
        <v>77</v>
      </c>
      <c r="M1014">
        <v>120</v>
      </c>
      <c r="P1014" t="s">
        <v>78</v>
      </c>
      <c r="Q1014" s="55">
        <v>109.09090909090908</v>
      </c>
      <c r="R1014" s="32">
        <v>60</v>
      </c>
      <c r="S1014" s="33">
        <v>0.33</v>
      </c>
      <c r="T1014" s="34">
        <f t="shared" si="31"/>
        <v>89.552238805970163</v>
      </c>
      <c r="U1014" s="34">
        <f t="shared" si="32"/>
        <v>90.671641791044792</v>
      </c>
      <c r="V1014" t="s">
        <v>79</v>
      </c>
      <c r="W1014" s="32">
        <v>15</v>
      </c>
      <c r="X1014" s="32" t="s">
        <v>80</v>
      </c>
      <c r="AD1014" s="1">
        <v>195018760951</v>
      </c>
      <c r="AN1014">
        <v>30</v>
      </c>
      <c r="AO1014" t="s">
        <v>81</v>
      </c>
    </row>
    <row r="1015" spans="1:41" ht="90" x14ac:dyDescent="0.25">
      <c r="A1015" s="2">
        <v>195018761101</v>
      </c>
      <c r="B1015" t="s">
        <v>71</v>
      </c>
      <c r="C1015" t="s">
        <v>72</v>
      </c>
      <c r="D1015" t="s">
        <v>3080</v>
      </c>
      <c r="E1015" t="s">
        <v>3081</v>
      </c>
      <c r="F1015">
        <v>316210</v>
      </c>
      <c r="G1015" s="35" t="s">
        <v>3051</v>
      </c>
      <c r="H1015" s="31" t="s">
        <v>3082</v>
      </c>
      <c r="J1015" t="s">
        <v>77</v>
      </c>
      <c r="M1015">
        <v>120</v>
      </c>
      <c r="P1015" t="s">
        <v>78</v>
      </c>
      <c r="Q1015" s="55">
        <v>109.09090909090908</v>
      </c>
      <c r="R1015" s="32">
        <v>60</v>
      </c>
      <c r="S1015" s="33">
        <v>0.33</v>
      </c>
      <c r="T1015" s="34">
        <f t="shared" si="31"/>
        <v>89.552238805970163</v>
      </c>
      <c r="U1015" s="34">
        <f t="shared" si="32"/>
        <v>90.671641791044792</v>
      </c>
      <c r="V1015" t="s">
        <v>79</v>
      </c>
      <c r="W1015" s="32">
        <v>15</v>
      </c>
      <c r="X1015" s="32" t="s">
        <v>80</v>
      </c>
      <c r="AD1015" s="1">
        <v>195018761101</v>
      </c>
      <c r="AN1015">
        <v>30</v>
      </c>
      <c r="AO1015" t="s">
        <v>81</v>
      </c>
    </row>
    <row r="1016" spans="1:41" ht="90" x14ac:dyDescent="0.25">
      <c r="A1016" s="2">
        <v>195018760968</v>
      </c>
      <c r="B1016" t="s">
        <v>71</v>
      </c>
      <c r="C1016" t="s">
        <v>72</v>
      </c>
      <c r="D1016" t="s">
        <v>3083</v>
      </c>
      <c r="E1016" t="s">
        <v>3084</v>
      </c>
      <c r="F1016">
        <v>316210</v>
      </c>
      <c r="G1016" s="35" t="s">
        <v>3051</v>
      </c>
      <c r="H1016" s="31" t="s">
        <v>3085</v>
      </c>
      <c r="J1016" t="s">
        <v>77</v>
      </c>
      <c r="M1016">
        <v>120</v>
      </c>
      <c r="P1016" t="s">
        <v>78</v>
      </c>
      <c r="Q1016" s="55">
        <v>109.09090909090908</v>
      </c>
      <c r="R1016" s="32">
        <v>60</v>
      </c>
      <c r="S1016" s="33">
        <v>0.33</v>
      </c>
      <c r="T1016" s="34">
        <f t="shared" si="31"/>
        <v>89.552238805970163</v>
      </c>
      <c r="U1016" s="34">
        <f t="shared" si="32"/>
        <v>90.671641791044792</v>
      </c>
      <c r="V1016" t="s">
        <v>79</v>
      </c>
      <c r="W1016" s="32">
        <v>15</v>
      </c>
      <c r="X1016" s="32" t="s">
        <v>80</v>
      </c>
      <c r="AD1016" s="1">
        <v>195018760968</v>
      </c>
      <c r="AN1016">
        <v>30</v>
      </c>
      <c r="AO1016" t="s">
        <v>81</v>
      </c>
    </row>
    <row r="1017" spans="1:41" ht="90" x14ac:dyDescent="0.25">
      <c r="A1017" s="2">
        <v>195018761118</v>
      </c>
      <c r="B1017" t="s">
        <v>71</v>
      </c>
      <c r="C1017" t="s">
        <v>72</v>
      </c>
      <c r="D1017" t="s">
        <v>3086</v>
      </c>
      <c r="E1017" t="s">
        <v>3087</v>
      </c>
      <c r="F1017">
        <v>316210</v>
      </c>
      <c r="G1017" s="35" t="s">
        <v>3051</v>
      </c>
      <c r="H1017" s="31" t="s">
        <v>3088</v>
      </c>
      <c r="J1017" t="s">
        <v>77</v>
      </c>
      <c r="M1017">
        <v>120</v>
      </c>
      <c r="P1017" t="s">
        <v>78</v>
      </c>
      <c r="Q1017" s="55">
        <v>109.09090909090908</v>
      </c>
      <c r="R1017" s="32">
        <v>60</v>
      </c>
      <c r="S1017" s="33">
        <v>0.33</v>
      </c>
      <c r="T1017" s="34">
        <f t="shared" si="31"/>
        <v>89.552238805970163</v>
      </c>
      <c r="U1017" s="34">
        <f t="shared" si="32"/>
        <v>90.671641791044792</v>
      </c>
      <c r="V1017" t="s">
        <v>79</v>
      </c>
      <c r="W1017" s="32">
        <v>15</v>
      </c>
      <c r="X1017" s="32" t="s">
        <v>80</v>
      </c>
      <c r="AD1017" s="1">
        <v>195018761118</v>
      </c>
      <c r="AN1017">
        <v>30</v>
      </c>
      <c r="AO1017" t="s">
        <v>81</v>
      </c>
    </row>
    <row r="1018" spans="1:41" ht="90" x14ac:dyDescent="0.25">
      <c r="A1018" s="2">
        <v>195018760975</v>
      </c>
      <c r="B1018" t="s">
        <v>71</v>
      </c>
      <c r="C1018" t="s">
        <v>72</v>
      </c>
      <c r="D1018" t="s">
        <v>3089</v>
      </c>
      <c r="E1018" t="s">
        <v>3090</v>
      </c>
      <c r="F1018">
        <v>316210</v>
      </c>
      <c r="G1018" s="35" t="s">
        <v>3051</v>
      </c>
      <c r="H1018" s="31" t="s">
        <v>3091</v>
      </c>
      <c r="J1018" t="s">
        <v>77</v>
      </c>
      <c r="M1018">
        <v>120</v>
      </c>
      <c r="P1018" t="s">
        <v>78</v>
      </c>
      <c r="Q1018" s="55">
        <v>109.09090909090908</v>
      </c>
      <c r="R1018" s="32">
        <v>60</v>
      </c>
      <c r="S1018" s="33">
        <v>0.33</v>
      </c>
      <c r="T1018" s="34">
        <f t="shared" si="31"/>
        <v>89.552238805970163</v>
      </c>
      <c r="U1018" s="34">
        <f t="shared" si="32"/>
        <v>90.671641791044792</v>
      </c>
      <c r="V1018" t="s">
        <v>79</v>
      </c>
      <c r="W1018" s="32">
        <v>15</v>
      </c>
      <c r="X1018" s="32" t="s">
        <v>80</v>
      </c>
      <c r="AD1018" s="1">
        <v>195018760975</v>
      </c>
      <c r="AN1018">
        <v>30</v>
      </c>
      <c r="AO1018" t="s">
        <v>81</v>
      </c>
    </row>
    <row r="1019" spans="1:41" ht="90" x14ac:dyDescent="0.25">
      <c r="A1019" s="2">
        <v>195018761125</v>
      </c>
      <c r="B1019" t="s">
        <v>71</v>
      </c>
      <c r="C1019" t="s">
        <v>72</v>
      </c>
      <c r="D1019" t="s">
        <v>3092</v>
      </c>
      <c r="E1019" t="s">
        <v>3093</v>
      </c>
      <c r="F1019">
        <v>316210</v>
      </c>
      <c r="G1019" s="35" t="s">
        <v>3051</v>
      </c>
      <c r="H1019" s="31" t="s">
        <v>3094</v>
      </c>
      <c r="J1019" t="s">
        <v>77</v>
      </c>
      <c r="M1019">
        <v>120</v>
      </c>
      <c r="P1019" t="s">
        <v>78</v>
      </c>
      <c r="Q1019" s="55">
        <v>109.09090909090908</v>
      </c>
      <c r="R1019" s="32">
        <v>60</v>
      </c>
      <c r="S1019" s="33">
        <v>0.33</v>
      </c>
      <c r="T1019" s="34">
        <f t="shared" si="31"/>
        <v>89.552238805970163</v>
      </c>
      <c r="U1019" s="34">
        <f t="shared" si="32"/>
        <v>90.671641791044792</v>
      </c>
      <c r="V1019" t="s">
        <v>79</v>
      </c>
      <c r="W1019" s="32">
        <v>15</v>
      </c>
      <c r="X1019" s="32" t="s">
        <v>80</v>
      </c>
      <c r="AD1019" s="1">
        <v>195018761125</v>
      </c>
      <c r="AN1019">
        <v>30</v>
      </c>
      <c r="AO1019" t="s">
        <v>81</v>
      </c>
    </row>
    <row r="1020" spans="1:41" ht="90" x14ac:dyDescent="0.25">
      <c r="A1020" s="2">
        <v>195018760982</v>
      </c>
      <c r="B1020" t="s">
        <v>71</v>
      </c>
      <c r="C1020" t="s">
        <v>72</v>
      </c>
      <c r="D1020" t="s">
        <v>3095</v>
      </c>
      <c r="E1020" t="s">
        <v>3096</v>
      </c>
      <c r="F1020">
        <v>316210</v>
      </c>
      <c r="G1020" s="35" t="s">
        <v>3051</v>
      </c>
      <c r="H1020" s="31" t="s">
        <v>3097</v>
      </c>
      <c r="J1020" t="s">
        <v>77</v>
      </c>
      <c r="M1020">
        <v>120</v>
      </c>
      <c r="P1020" t="s">
        <v>78</v>
      </c>
      <c r="Q1020" s="55">
        <v>109.09090909090908</v>
      </c>
      <c r="R1020" s="32">
        <v>60</v>
      </c>
      <c r="S1020" s="33">
        <v>0.33</v>
      </c>
      <c r="T1020" s="34">
        <f t="shared" si="31"/>
        <v>89.552238805970163</v>
      </c>
      <c r="U1020" s="34">
        <f t="shared" si="32"/>
        <v>90.671641791044792</v>
      </c>
      <c r="V1020" t="s">
        <v>79</v>
      </c>
      <c r="W1020" s="32">
        <v>15</v>
      </c>
      <c r="X1020" s="32" t="s">
        <v>80</v>
      </c>
      <c r="AD1020" s="1">
        <v>195018760982</v>
      </c>
      <c r="AN1020">
        <v>30</v>
      </c>
      <c r="AO1020" t="s">
        <v>81</v>
      </c>
    </row>
    <row r="1021" spans="1:41" ht="90" x14ac:dyDescent="0.25">
      <c r="A1021" s="2">
        <v>195018761132</v>
      </c>
      <c r="B1021" t="s">
        <v>71</v>
      </c>
      <c r="C1021" t="s">
        <v>72</v>
      </c>
      <c r="D1021" t="s">
        <v>3098</v>
      </c>
      <c r="E1021" t="s">
        <v>3099</v>
      </c>
      <c r="F1021">
        <v>316210</v>
      </c>
      <c r="G1021" s="35" t="s">
        <v>3051</v>
      </c>
      <c r="H1021" s="31" t="s">
        <v>3100</v>
      </c>
      <c r="J1021" t="s">
        <v>77</v>
      </c>
      <c r="M1021">
        <v>120</v>
      </c>
      <c r="P1021" t="s">
        <v>78</v>
      </c>
      <c r="Q1021" s="55">
        <v>109.09090909090908</v>
      </c>
      <c r="R1021" s="32">
        <v>60</v>
      </c>
      <c r="S1021" s="33">
        <v>0.33</v>
      </c>
      <c r="T1021" s="34">
        <f t="shared" si="31"/>
        <v>89.552238805970163</v>
      </c>
      <c r="U1021" s="34">
        <f t="shared" si="32"/>
        <v>90.671641791044792</v>
      </c>
      <c r="V1021" t="s">
        <v>79</v>
      </c>
      <c r="W1021" s="32">
        <v>15</v>
      </c>
      <c r="X1021" s="32" t="s">
        <v>80</v>
      </c>
      <c r="AD1021" s="1">
        <v>195018761132</v>
      </c>
      <c r="AN1021">
        <v>30</v>
      </c>
      <c r="AO1021" t="s">
        <v>81</v>
      </c>
    </row>
    <row r="1022" spans="1:41" ht="90" x14ac:dyDescent="0.25">
      <c r="A1022" s="2">
        <v>195018760999</v>
      </c>
      <c r="B1022" t="s">
        <v>71</v>
      </c>
      <c r="C1022" t="s">
        <v>72</v>
      </c>
      <c r="D1022" t="s">
        <v>3101</v>
      </c>
      <c r="E1022" t="s">
        <v>3102</v>
      </c>
      <c r="F1022">
        <v>316210</v>
      </c>
      <c r="G1022" s="35" t="s">
        <v>3051</v>
      </c>
      <c r="H1022" s="31" t="s">
        <v>3103</v>
      </c>
      <c r="J1022" t="s">
        <v>77</v>
      </c>
      <c r="M1022">
        <v>120</v>
      </c>
      <c r="P1022" t="s">
        <v>78</v>
      </c>
      <c r="Q1022" s="55">
        <v>109.09090909090908</v>
      </c>
      <c r="R1022" s="32">
        <v>60</v>
      </c>
      <c r="S1022" s="33">
        <v>0.33</v>
      </c>
      <c r="T1022" s="34">
        <f t="shared" si="31"/>
        <v>89.552238805970163</v>
      </c>
      <c r="U1022" s="34">
        <f t="shared" si="32"/>
        <v>90.671641791044792</v>
      </c>
      <c r="V1022" t="s">
        <v>79</v>
      </c>
      <c r="W1022" s="32">
        <v>15</v>
      </c>
      <c r="X1022" s="32" t="s">
        <v>80</v>
      </c>
      <c r="AD1022" s="1">
        <v>195018760999</v>
      </c>
      <c r="AN1022">
        <v>30</v>
      </c>
      <c r="AO1022" t="s">
        <v>81</v>
      </c>
    </row>
    <row r="1023" spans="1:41" ht="90" x14ac:dyDescent="0.25">
      <c r="A1023" s="2">
        <v>195018761149</v>
      </c>
      <c r="B1023" t="s">
        <v>71</v>
      </c>
      <c r="C1023" t="s">
        <v>72</v>
      </c>
      <c r="D1023" t="s">
        <v>3104</v>
      </c>
      <c r="E1023" t="s">
        <v>3105</v>
      </c>
      <c r="F1023">
        <v>316210</v>
      </c>
      <c r="G1023" s="35" t="s">
        <v>3051</v>
      </c>
      <c r="H1023" s="31" t="s">
        <v>3106</v>
      </c>
      <c r="J1023" t="s">
        <v>77</v>
      </c>
      <c r="M1023">
        <v>120</v>
      </c>
      <c r="P1023" t="s">
        <v>78</v>
      </c>
      <c r="Q1023" s="55">
        <v>109.09090909090908</v>
      </c>
      <c r="R1023" s="32">
        <v>60</v>
      </c>
      <c r="S1023" s="33">
        <v>0.33</v>
      </c>
      <c r="T1023" s="34">
        <f t="shared" si="31"/>
        <v>89.552238805970163</v>
      </c>
      <c r="U1023" s="34">
        <f t="shared" si="32"/>
        <v>90.671641791044792</v>
      </c>
      <c r="V1023" t="s">
        <v>79</v>
      </c>
      <c r="W1023" s="32">
        <v>15</v>
      </c>
      <c r="X1023" s="32" t="s">
        <v>80</v>
      </c>
      <c r="AD1023" s="1">
        <v>195018761149</v>
      </c>
      <c r="AN1023">
        <v>30</v>
      </c>
      <c r="AO1023" t="s">
        <v>81</v>
      </c>
    </row>
    <row r="1024" spans="1:41" ht="90" x14ac:dyDescent="0.25">
      <c r="A1024" s="2">
        <v>195018761002</v>
      </c>
      <c r="B1024" t="s">
        <v>71</v>
      </c>
      <c r="C1024" t="s">
        <v>72</v>
      </c>
      <c r="D1024" t="s">
        <v>3107</v>
      </c>
      <c r="E1024" t="s">
        <v>3108</v>
      </c>
      <c r="F1024">
        <v>316210</v>
      </c>
      <c r="G1024" s="35" t="s">
        <v>3051</v>
      </c>
      <c r="H1024" s="31" t="s">
        <v>3109</v>
      </c>
      <c r="J1024" t="s">
        <v>77</v>
      </c>
      <c r="M1024">
        <v>120</v>
      </c>
      <c r="P1024" t="s">
        <v>78</v>
      </c>
      <c r="Q1024" s="55">
        <v>109.09090909090908</v>
      </c>
      <c r="R1024" s="32">
        <v>60</v>
      </c>
      <c r="S1024" s="33">
        <v>0.33</v>
      </c>
      <c r="T1024" s="34">
        <f t="shared" si="31"/>
        <v>89.552238805970163</v>
      </c>
      <c r="U1024" s="34">
        <f t="shared" si="32"/>
        <v>90.671641791044792</v>
      </c>
      <c r="V1024" t="s">
        <v>79</v>
      </c>
      <c r="W1024" s="32">
        <v>15</v>
      </c>
      <c r="X1024" s="32" t="s">
        <v>80</v>
      </c>
      <c r="AD1024" s="1">
        <v>195018761002</v>
      </c>
      <c r="AN1024">
        <v>30</v>
      </c>
      <c r="AO1024" t="s">
        <v>81</v>
      </c>
    </row>
    <row r="1025" spans="1:41" ht="90" x14ac:dyDescent="0.25">
      <c r="A1025" s="2">
        <v>195018761156</v>
      </c>
      <c r="B1025" t="s">
        <v>71</v>
      </c>
      <c r="C1025" t="s">
        <v>72</v>
      </c>
      <c r="D1025" t="s">
        <v>3110</v>
      </c>
      <c r="E1025" t="s">
        <v>3111</v>
      </c>
      <c r="F1025">
        <v>316210</v>
      </c>
      <c r="G1025" s="35" t="s">
        <v>3051</v>
      </c>
      <c r="H1025" s="31" t="s">
        <v>3112</v>
      </c>
      <c r="J1025" t="s">
        <v>77</v>
      </c>
      <c r="M1025">
        <v>120</v>
      </c>
      <c r="P1025" t="s">
        <v>78</v>
      </c>
      <c r="Q1025" s="55">
        <v>109.09090909090908</v>
      </c>
      <c r="R1025" s="32">
        <v>60</v>
      </c>
      <c r="S1025" s="33">
        <v>0.33</v>
      </c>
      <c r="T1025" s="34">
        <f t="shared" si="31"/>
        <v>89.552238805970163</v>
      </c>
      <c r="U1025" s="34">
        <f t="shared" si="32"/>
        <v>90.671641791044792</v>
      </c>
      <c r="V1025" t="s">
        <v>79</v>
      </c>
      <c r="W1025" s="32">
        <v>15</v>
      </c>
      <c r="X1025" s="32" t="s">
        <v>80</v>
      </c>
      <c r="AD1025" s="1">
        <v>195018761156</v>
      </c>
      <c r="AN1025">
        <v>30</v>
      </c>
      <c r="AO1025" t="s">
        <v>81</v>
      </c>
    </row>
    <row r="1026" spans="1:41" ht="90" x14ac:dyDescent="0.25">
      <c r="A1026" s="2">
        <v>195018761019</v>
      </c>
      <c r="B1026" t="s">
        <v>71</v>
      </c>
      <c r="C1026" t="s">
        <v>72</v>
      </c>
      <c r="D1026" t="s">
        <v>3113</v>
      </c>
      <c r="E1026" t="s">
        <v>3114</v>
      </c>
      <c r="F1026">
        <v>316210</v>
      </c>
      <c r="G1026" s="35" t="s">
        <v>3051</v>
      </c>
      <c r="H1026" s="31" t="s">
        <v>3115</v>
      </c>
      <c r="J1026" t="s">
        <v>77</v>
      </c>
      <c r="M1026">
        <v>120</v>
      </c>
      <c r="P1026" t="s">
        <v>78</v>
      </c>
      <c r="Q1026" s="55">
        <v>109.09090909090908</v>
      </c>
      <c r="R1026" s="32">
        <v>60</v>
      </c>
      <c r="S1026" s="33">
        <v>0.33</v>
      </c>
      <c r="T1026" s="34">
        <f t="shared" si="31"/>
        <v>89.552238805970163</v>
      </c>
      <c r="U1026" s="34">
        <f t="shared" si="32"/>
        <v>90.671641791044792</v>
      </c>
      <c r="V1026" t="s">
        <v>79</v>
      </c>
      <c r="W1026" s="32">
        <v>15</v>
      </c>
      <c r="X1026" s="32" t="s">
        <v>80</v>
      </c>
      <c r="AD1026" s="1">
        <v>195018761019</v>
      </c>
      <c r="AN1026">
        <v>30</v>
      </c>
      <c r="AO1026" t="s">
        <v>81</v>
      </c>
    </row>
    <row r="1027" spans="1:41" ht="90" x14ac:dyDescent="0.25">
      <c r="A1027" s="2">
        <v>195018761163</v>
      </c>
      <c r="B1027" t="s">
        <v>71</v>
      </c>
      <c r="C1027" t="s">
        <v>72</v>
      </c>
      <c r="D1027" t="s">
        <v>3116</v>
      </c>
      <c r="E1027" t="s">
        <v>3117</v>
      </c>
      <c r="F1027">
        <v>316210</v>
      </c>
      <c r="G1027" s="35" t="s">
        <v>3051</v>
      </c>
      <c r="H1027" s="31" t="s">
        <v>3118</v>
      </c>
      <c r="J1027" t="s">
        <v>77</v>
      </c>
      <c r="M1027">
        <v>120</v>
      </c>
      <c r="P1027" t="s">
        <v>78</v>
      </c>
      <c r="Q1027" s="55">
        <v>109.09090909090908</v>
      </c>
      <c r="R1027" s="32">
        <v>60</v>
      </c>
      <c r="S1027" s="33">
        <v>0.33</v>
      </c>
      <c r="T1027" s="34">
        <f t="shared" si="31"/>
        <v>89.552238805970163</v>
      </c>
      <c r="U1027" s="34">
        <f t="shared" si="32"/>
        <v>90.671641791044792</v>
      </c>
      <c r="V1027" t="s">
        <v>79</v>
      </c>
      <c r="W1027" s="32">
        <v>15</v>
      </c>
      <c r="X1027" s="32" t="s">
        <v>80</v>
      </c>
      <c r="AD1027" s="1">
        <v>195018761163</v>
      </c>
      <c r="AN1027">
        <v>30</v>
      </c>
      <c r="AO1027" t="s">
        <v>81</v>
      </c>
    </row>
    <row r="1028" spans="1:41" ht="90" x14ac:dyDescent="0.25">
      <c r="A1028" s="2">
        <v>195018761026</v>
      </c>
      <c r="B1028" t="s">
        <v>71</v>
      </c>
      <c r="C1028" t="s">
        <v>72</v>
      </c>
      <c r="D1028" t="s">
        <v>3119</v>
      </c>
      <c r="E1028" t="s">
        <v>3120</v>
      </c>
      <c r="F1028">
        <v>316210</v>
      </c>
      <c r="G1028" s="35" t="s">
        <v>3051</v>
      </c>
      <c r="H1028" s="31" t="s">
        <v>3121</v>
      </c>
      <c r="J1028" t="s">
        <v>77</v>
      </c>
      <c r="M1028">
        <v>120</v>
      </c>
      <c r="P1028" t="s">
        <v>78</v>
      </c>
      <c r="Q1028" s="55">
        <v>109.09090909090908</v>
      </c>
      <c r="R1028" s="32">
        <v>60</v>
      </c>
      <c r="S1028" s="33">
        <v>0.33</v>
      </c>
      <c r="T1028" s="34">
        <f t="shared" ref="T1028:T1084" si="33">R1028/(1-S1028)</f>
        <v>89.552238805970163</v>
      </c>
      <c r="U1028" s="34">
        <f t="shared" ref="U1028:U1084" si="34">T1028*(1+1.25%)</f>
        <v>90.671641791044792</v>
      </c>
      <c r="V1028" t="s">
        <v>79</v>
      </c>
      <c r="W1028" s="32">
        <v>15</v>
      </c>
      <c r="X1028" s="32" t="s">
        <v>80</v>
      </c>
      <c r="AD1028" s="1">
        <v>195018761026</v>
      </c>
      <c r="AN1028">
        <v>30</v>
      </c>
      <c r="AO1028" t="s">
        <v>81</v>
      </c>
    </row>
    <row r="1029" spans="1:41" ht="90" x14ac:dyDescent="0.25">
      <c r="A1029" s="2">
        <v>195018761170</v>
      </c>
      <c r="B1029" t="s">
        <v>71</v>
      </c>
      <c r="C1029" t="s">
        <v>72</v>
      </c>
      <c r="D1029" t="s">
        <v>3122</v>
      </c>
      <c r="E1029" t="s">
        <v>3123</v>
      </c>
      <c r="F1029">
        <v>316210</v>
      </c>
      <c r="G1029" s="35" t="s">
        <v>3051</v>
      </c>
      <c r="H1029" s="31" t="s">
        <v>3124</v>
      </c>
      <c r="J1029" t="s">
        <v>77</v>
      </c>
      <c r="M1029">
        <v>120</v>
      </c>
      <c r="P1029" t="s">
        <v>78</v>
      </c>
      <c r="Q1029" s="55">
        <v>109.09090909090908</v>
      </c>
      <c r="R1029" s="32">
        <v>60</v>
      </c>
      <c r="S1029" s="33">
        <v>0.33</v>
      </c>
      <c r="T1029" s="34">
        <f t="shared" si="33"/>
        <v>89.552238805970163</v>
      </c>
      <c r="U1029" s="34">
        <f t="shared" si="34"/>
        <v>90.671641791044792</v>
      </c>
      <c r="V1029" t="s">
        <v>79</v>
      </c>
      <c r="W1029" s="32">
        <v>15</v>
      </c>
      <c r="X1029" s="32" t="s">
        <v>80</v>
      </c>
      <c r="AD1029" s="1">
        <v>195018761170</v>
      </c>
      <c r="AN1029">
        <v>30</v>
      </c>
      <c r="AO1029" t="s">
        <v>81</v>
      </c>
    </row>
    <row r="1030" spans="1:41" ht="90" x14ac:dyDescent="0.25">
      <c r="A1030" s="2">
        <v>195018761033</v>
      </c>
      <c r="B1030" t="s">
        <v>71</v>
      </c>
      <c r="C1030" t="s">
        <v>72</v>
      </c>
      <c r="D1030" t="s">
        <v>3125</v>
      </c>
      <c r="E1030" t="s">
        <v>3126</v>
      </c>
      <c r="F1030">
        <v>316210</v>
      </c>
      <c r="G1030" s="35" t="s">
        <v>3051</v>
      </c>
      <c r="H1030" s="31" t="s">
        <v>3127</v>
      </c>
      <c r="J1030" t="s">
        <v>77</v>
      </c>
      <c r="M1030">
        <v>120</v>
      </c>
      <c r="P1030" t="s">
        <v>78</v>
      </c>
      <c r="Q1030" s="55">
        <v>109.09090909090908</v>
      </c>
      <c r="R1030" s="32">
        <v>60</v>
      </c>
      <c r="S1030" s="33">
        <v>0.33</v>
      </c>
      <c r="T1030" s="34">
        <f t="shared" si="33"/>
        <v>89.552238805970163</v>
      </c>
      <c r="U1030" s="34">
        <f t="shared" si="34"/>
        <v>90.671641791044792</v>
      </c>
      <c r="V1030" t="s">
        <v>79</v>
      </c>
      <c r="W1030" s="32">
        <v>15</v>
      </c>
      <c r="X1030" s="32" t="s">
        <v>80</v>
      </c>
      <c r="AD1030" s="1">
        <v>195018761033</v>
      </c>
      <c r="AN1030">
        <v>30</v>
      </c>
      <c r="AO1030" t="s">
        <v>81</v>
      </c>
    </row>
    <row r="1031" spans="1:41" ht="90" x14ac:dyDescent="0.25">
      <c r="A1031" s="2">
        <v>195018761187</v>
      </c>
      <c r="B1031" t="s">
        <v>71</v>
      </c>
      <c r="C1031" t="s">
        <v>72</v>
      </c>
      <c r="D1031" t="s">
        <v>3128</v>
      </c>
      <c r="E1031" t="s">
        <v>3129</v>
      </c>
      <c r="F1031">
        <v>316210</v>
      </c>
      <c r="G1031" s="35" t="s">
        <v>3051</v>
      </c>
      <c r="H1031" s="31" t="s">
        <v>3130</v>
      </c>
      <c r="J1031" t="s">
        <v>77</v>
      </c>
      <c r="M1031">
        <v>120</v>
      </c>
      <c r="P1031" t="s">
        <v>78</v>
      </c>
      <c r="Q1031" s="55">
        <v>109.09090909090908</v>
      </c>
      <c r="R1031" s="32">
        <v>60</v>
      </c>
      <c r="S1031" s="33">
        <v>0.33</v>
      </c>
      <c r="T1031" s="34">
        <f t="shared" si="33"/>
        <v>89.552238805970163</v>
      </c>
      <c r="U1031" s="34">
        <f t="shared" si="34"/>
        <v>90.671641791044792</v>
      </c>
      <c r="V1031" t="s">
        <v>79</v>
      </c>
      <c r="W1031" s="32">
        <v>15</v>
      </c>
      <c r="X1031" s="32" t="s">
        <v>80</v>
      </c>
      <c r="AD1031" s="1">
        <v>195018761187</v>
      </c>
      <c r="AN1031">
        <v>30</v>
      </c>
      <c r="AO1031" t="s">
        <v>81</v>
      </c>
    </row>
    <row r="1032" spans="1:41" ht="90" x14ac:dyDescent="0.25">
      <c r="A1032" s="2">
        <v>195018761040</v>
      </c>
      <c r="B1032" t="s">
        <v>71</v>
      </c>
      <c r="C1032" t="s">
        <v>72</v>
      </c>
      <c r="D1032" t="s">
        <v>3131</v>
      </c>
      <c r="E1032" t="s">
        <v>3132</v>
      </c>
      <c r="F1032">
        <v>316210</v>
      </c>
      <c r="G1032" s="35" t="s">
        <v>3051</v>
      </c>
      <c r="H1032" s="31" t="s">
        <v>3133</v>
      </c>
      <c r="J1032" t="s">
        <v>77</v>
      </c>
      <c r="M1032">
        <v>120</v>
      </c>
      <c r="P1032" t="s">
        <v>78</v>
      </c>
      <c r="Q1032" s="55">
        <v>109.09090909090908</v>
      </c>
      <c r="R1032" s="32">
        <v>60</v>
      </c>
      <c r="S1032" s="33">
        <v>0.33</v>
      </c>
      <c r="T1032" s="34">
        <f t="shared" si="33"/>
        <v>89.552238805970163</v>
      </c>
      <c r="U1032" s="34">
        <f t="shared" si="34"/>
        <v>90.671641791044792</v>
      </c>
      <c r="V1032" t="s">
        <v>79</v>
      </c>
      <c r="W1032" s="32">
        <v>15</v>
      </c>
      <c r="X1032" s="32" t="s">
        <v>80</v>
      </c>
      <c r="AD1032" s="1">
        <v>195018761040</v>
      </c>
      <c r="AN1032">
        <v>30</v>
      </c>
      <c r="AO1032" t="s">
        <v>81</v>
      </c>
    </row>
    <row r="1033" spans="1:41" ht="75" x14ac:dyDescent="0.25">
      <c r="A1033" s="2">
        <v>195018761330</v>
      </c>
      <c r="B1033" t="s">
        <v>71</v>
      </c>
      <c r="C1033" t="s">
        <v>72</v>
      </c>
      <c r="D1033" t="s">
        <v>3134</v>
      </c>
      <c r="E1033" t="s">
        <v>3135</v>
      </c>
      <c r="F1033">
        <v>316210</v>
      </c>
      <c r="G1033" s="35" t="s">
        <v>3136</v>
      </c>
      <c r="H1033" s="31" t="s">
        <v>3137</v>
      </c>
      <c r="J1033" t="s">
        <v>77</v>
      </c>
      <c r="M1033">
        <v>115</v>
      </c>
      <c r="P1033" t="s">
        <v>78</v>
      </c>
      <c r="Q1033" s="55">
        <v>105.45454545454544</v>
      </c>
      <c r="R1033" s="32">
        <v>58</v>
      </c>
      <c r="S1033" s="33">
        <v>0.33</v>
      </c>
      <c r="T1033" s="34">
        <f t="shared" si="33"/>
        <v>86.567164179104481</v>
      </c>
      <c r="U1033" s="34">
        <f t="shared" si="34"/>
        <v>87.649253731343279</v>
      </c>
      <c r="V1033" t="s">
        <v>79</v>
      </c>
      <c r="W1033" s="32">
        <v>15</v>
      </c>
      <c r="X1033" s="32" t="s">
        <v>80</v>
      </c>
      <c r="AD1033" s="1">
        <v>195018761330</v>
      </c>
      <c r="AN1033">
        <v>30</v>
      </c>
      <c r="AO1033" t="s">
        <v>81</v>
      </c>
    </row>
    <row r="1034" spans="1:41" ht="75" x14ac:dyDescent="0.25">
      <c r="A1034" s="2">
        <v>195018761194</v>
      </c>
      <c r="B1034" t="s">
        <v>71</v>
      </c>
      <c r="C1034" t="s">
        <v>72</v>
      </c>
      <c r="D1034" t="s">
        <v>3138</v>
      </c>
      <c r="E1034" t="s">
        <v>3139</v>
      </c>
      <c r="F1034">
        <v>316210</v>
      </c>
      <c r="G1034" s="35" t="s">
        <v>3136</v>
      </c>
      <c r="H1034" s="31" t="s">
        <v>3140</v>
      </c>
      <c r="J1034" t="s">
        <v>77</v>
      </c>
      <c r="M1034">
        <v>115</v>
      </c>
      <c r="P1034" t="s">
        <v>78</v>
      </c>
      <c r="Q1034" s="55">
        <v>105.45454545454544</v>
      </c>
      <c r="R1034" s="32">
        <v>58</v>
      </c>
      <c r="S1034" s="33">
        <v>0.33</v>
      </c>
      <c r="T1034" s="34">
        <f t="shared" si="33"/>
        <v>86.567164179104481</v>
      </c>
      <c r="U1034" s="34">
        <f t="shared" si="34"/>
        <v>87.649253731343279</v>
      </c>
      <c r="V1034" t="s">
        <v>79</v>
      </c>
      <c r="W1034" s="32">
        <v>15</v>
      </c>
      <c r="X1034" s="32" t="s">
        <v>80</v>
      </c>
      <c r="AD1034" s="1">
        <v>195018761194</v>
      </c>
      <c r="AN1034">
        <v>30</v>
      </c>
      <c r="AO1034" t="s">
        <v>81</v>
      </c>
    </row>
    <row r="1035" spans="1:41" ht="75" x14ac:dyDescent="0.25">
      <c r="A1035" s="2">
        <v>195018761347</v>
      </c>
      <c r="B1035" t="s">
        <v>71</v>
      </c>
      <c r="C1035" t="s">
        <v>72</v>
      </c>
      <c r="D1035" t="s">
        <v>3141</v>
      </c>
      <c r="E1035" t="s">
        <v>3142</v>
      </c>
      <c r="F1035">
        <v>316210</v>
      </c>
      <c r="G1035" s="35" t="s">
        <v>3136</v>
      </c>
      <c r="H1035" s="31" t="s">
        <v>3143</v>
      </c>
      <c r="J1035" t="s">
        <v>77</v>
      </c>
      <c r="M1035">
        <v>115</v>
      </c>
      <c r="P1035" t="s">
        <v>78</v>
      </c>
      <c r="Q1035" s="55">
        <v>105.45454545454544</v>
      </c>
      <c r="R1035" s="32">
        <v>58</v>
      </c>
      <c r="S1035" s="33">
        <v>0.33</v>
      </c>
      <c r="T1035" s="34">
        <f t="shared" si="33"/>
        <v>86.567164179104481</v>
      </c>
      <c r="U1035" s="34">
        <f t="shared" si="34"/>
        <v>87.649253731343279</v>
      </c>
      <c r="V1035" t="s">
        <v>79</v>
      </c>
      <c r="W1035" s="32">
        <v>15</v>
      </c>
      <c r="X1035" s="32" t="s">
        <v>80</v>
      </c>
      <c r="AD1035" s="1">
        <v>195018761347</v>
      </c>
      <c r="AN1035">
        <v>30</v>
      </c>
      <c r="AO1035" t="s">
        <v>81</v>
      </c>
    </row>
    <row r="1036" spans="1:41" ht="75" x14ac:dyDescent="0.25">
      <c r="A1036" s="2">
        <v>195018761200</v>
      </c>
      <c r="B1036" t="s">
        <v>71</v>
      </c>
      <c r="C1036" t="s">
        <v>72</v>
      </c>
      <c r="D1036" t="s">
        <v>3144</v>
      </c>
      <c r="E1036" t="s">
        <v>3145</v>
      </c>
      <c r="F1036">
        <v>316210</v>
      </c>
      <c r="G1036" s="35" t="s">
        <v>3136</v>
      </c>
      <c r="H1036" s="31" t="s">
        <v>3146</v>
      </c>
      <c r="J1036" t="s">
        <v>77</v>
      </c>
      <c r="M1036">
        <v>115</v>
      </c>
      <c r="P1036" t="s">
        <v>78</v>
      </c>
      <c r="Q1036" s="55">
        <v>105.45454545454544</v>
      </c>
      <c r="R1036" s="32">
        <v>58</v>
      </c>
      <c r="S1036" s="33">
        <v>0.33</v>
      </c>
      <c r="T1036" s="34">
        <f t="shared" si="33"/>
        <v>86.567164179104481</v>
      </c>
      <c r="U1036" s="34">
        <f t="shared" si="34"/>
        <v>87.649253731343279</v>
      </c>
      <c r="V1036" t="s">
        <v>79</v>
      </c>
      <c r="W1036" s="32">
        <v>15</v>
      </c>
      <c r="X1036" s="32" t="s">
        <v>80</v>
      </c>
      <c r="AD1036" s="1">
        <v>195018761200</v>
      </c>
      <c r="AN1036">
        <v>30</v>
      </c>
      <c r="AO1036" t="s">
        <v>81</v>
      </c>
    </row>
    <row r="1037" spans="1:41" ht="75" x14ac:dyDescent="0.25">
      <c r="A1037" s="2">
        <v>195018761354</v>
      </c>
      <c r="B1037" t="s">
        <v>71</v>
      </c>
      <c r="C1037" t="s">
        <v>72</v>
      </c>
      <c r="D1037" t="s">
        <v>3147</v>
      </c>
      <c r="E1037" t="s">
        <v>3148</v>
      </c>
      <c r="F1037">
        <v>316210</v>
      </c>
      <c r="G1037" s="35" t="s">
        <v>3136</v>
      </c>
      <c r="H1037" s="31" t="s">
        <v>3149</v>
      </c>
      <c r="J1037" t="s">
        <v>77</v>
      </c>
      <c r="M1037">
        <v>115</v>
      </c>
      <c r="P1037" t="s">
        <v>78</v>
      </c>
      <c r="Q1037" s="55">
        <v>105.45454545454544</v>
      </c>
      <c r="R1037" s="32">
        <v>58</v>
      </c>
      <c r="S1037" s="33">
        <v>0.33</v>
      </c>
      <c r="T1037" s="34">
        <f t="shared" si="33"/>
        <v>86.567164179104481</v>
      </c>
      <c r="U1037" s="34">
        <f t="shared" si="34"/>
        <v>87.649253731343279</v>
      </c>
      <c r="V1037" t="s">
        <v>79</v>
      </c>
      <c r="W1037" s="32">
        <v>15</v>
      </c>
      <c r="X1037" s="32" t="s">
        <v>80</v>
      </c>
      <c r="AD1037" s="1">
        <v>195018761354</v>
      </c>
      <c r="AN1037">
        <v>30</v>
      </c>
      <c r="AO1037" t="s">
        <v>81</v>
      </c>
    </row>
    <row r="1038" spans="1:41" ht="75" x14ac:dyDescent="0.25">
      <c r="A1038" s="2">
        <v>195018761217</v>
      </c>
      <c r="B1038" t="s">
        <v>71</v>
      </c>
      <c r="C1038" t="s">
        <v>72</v>
      </c>
      <c r="D1038" t="s">
        <v>3150</v>
      </c>
      <c r="E1038" t="s">
        <v>3151</v>
      </c>
      <c r="F1038">
        <v>316210</v>
      </c>
      <c r="G1038" s="35" t="s">
        <v>3136</v>
      </c>
      <c r="H1038" s="31" t="s">
        <v>3152</v>
      </c>
      <c r="J1038" t="s">
        <v>77</v>
      </c>
      <c r="M1038">
        <v>115</v>
      </c>
      <c r="P1038" t="s">
        <v>78</v>
      </c>
      <c r="Q1038" s="55">
        <v>105.45454545454544</v>
      </c>
      <c r="R1038" s="32">
        <v>58</v>
      </c>
      <c r="S1038" s="33">
        <v>0.33</v>
      </c>
      <c r="T1038" s="34">
        <f t="shared" si="33"/>
        <v>86.567164179104481</v>
      </c>
      <c r="U1038" s="34">
        <f t="shared" si="34"/>
        <v>87.649253731343279</v>
      </c>
      <c r="V1038" t="s">
        <v>79</v>
      </c>
      <c r="W1038" s="32">
        <v>15</v>
      </c>
      <c r="X1038" s="32" t="s">
        <v>80</v>
      </c>
      <c r="AD1038" s="1">
        <v>195018761217</v>
      </c>
      <c r="AN1038">
        <v>30</v>
      </c>
      <c r="AO1038" t="s">
        <v>81</v>
      </c>
    </row>
    <row r="1039" spans="1:41" ht="75" x14ac:dyDescent="0.25">
      <c r="A1039" s="2">
        <v>195018761361</v>
      </c>
      <c r="B1039" t="s">
        <v>71</v>
      </c>
      <c r="C1039" t="s">
        <v>72</v>
      </c>
      <c r="D1039" t="s">
        <v>3153</v>
      </c>
      <c r="E1039" t="s">
        <v>3154</v>
      </c>
      <c r="F1039">
        <v>316210</v>
      </c>
      <c r="G1039" s="35" t="s">
        <v>3136</v>
      </c>
      <c r="H1039" s="31" t="s">
        <v>3155</v>
      </c>
      <c r="J1039" t="s">
        <v>77</v>
      </c>
      <c r="M1039">
        <v>115</v>
      </c>
      <c r="P1039" t="s">
        <v>78</v>
      </c>
      <c r="Q1039" s="55">
        <v>105.45454545454544</v>
      </c>
      <c r="R1039" s="32">
        <v>58</v>
      </c>
      <c r="S1039" s="33">
        <v>0.33</v>
      </c>
      <c r="T1039" s="34">
        <f t="shared" si="33"/>
        <v>86.567164179104481</v>
      </c>
      <c r="U1039" s="34">
        <f t="shared" si="34"/>
        <v>87.649253731343279</v>
      </c>
      <c r="V1039" t="s">
        <v>79</v>
      </c>
      <c r="W1039" s="32">
        <v>15</v>
      </c>
      <c r="X1039" s="32" t="s">
        <v>80</v>
      </c>
      <c r="AD1039" s="1">
        <v>195018761361</v>
      </c>
      <c r="AN1039">
        <v>30</v>
      </c>
      <c r="AO1039" t="s">
        <v>81</v>
      </c>
    </row>
    <row r="1040" spans="1:41" ht="75" x14ac:dyDescent="0.25">
      <c r="A1040" s="2">
        <v>195018761224</v>
      </c>
      <c r="B1040" t="s">
        <v>71</v>
      </c>
      <c r="C1040" t="s">
        <v>72</v>
      </c>
      <c r="D1040" t="s">
        <v>3156</v>
      </c>
      <c r="E1040" t="s">
        <v>3157</v>
      </c>
      <c r="F1040">
        <v>316210</v>
      </c>
      <c r="G1040" s="35" t="s">
        <v>3136</v>
      </c>
      <c r="H1040" s="31" t="s">
        <v>3158</v>
      </c>
      <c r="J1040" t="s">
        <v>77</v>
      </c>
      <c r="M1040">
        <v>115</v>
      </c>
      <c r="P1040" t="s">
        <v>78</v>
      </c>
      <c r="Q1040" s="55">
        <v>105.45454545454544</v>
      </c>
      <c r="R1040" s="32">
        <v>58</v>
      </c>
      <c r="S1040" s="33">
        <v>0.33</v>
      </c>
      <c r="T1040" s="34">
        <f t="shared" si="33"/>
        <v>86.567164179104481</v>
      </c>
      <c r="U1040" s="34">
        <f t="shared" si="34"/>
        <v>87.649253731343279</v>
      </c>
      <c r="V1040" t="s">
        <v>79</v>
      </c>
      <c r="W1040" s="32">
        <v>15</v>
      </c>
      <c r="X1040" s="32" t="s">
        <v>80</v>
      </c>
      <c r="AD1040" s="1">
        <v>195018761224</v>
      </c>
      <c r="AN1040">
        <v>30</v>
      </c>
      <c r="AO1040" t="s">
        <v>81</v>
      </c>
    </row>
    <row r="1041" spans="1:41" ht="75" x14ac:dyDescent="0.25">
      <c r="A1041" s="2">
        <v>195018761378</v>
      </c>
      <c r="B1041" t="s">
        <v>71</v>
      </c>
      <c r="C1041" t="s">
        <v>72</v>
      </c>
      <c r="D1041" t="s">
        <v>3159</v>
      </c>
      <c r="E1041" t="s">
        <v>3160</v>
      </c>
      <c r="F1041">
        <v>316210</v>
      </c>
      <c r="G1041" s="35" t="s">
        <v>3136</v>
      </c>
      <c r="H1041" s="31" t="s">
        <v>3161</v>
      </c>
      <c r="J1041" t="s">
        <v>77</v>
      </c>
      <c r="M1041">
        <v>115</v>
      </c>
      <c r="P1041" t="s">
        <v>78</v>
      </c>
      <c r="Q1041" s="55">
        <v>105.45454545454544</v>
      </c>
      <c r="R1041" s="32">
        <v>58</v>
      </c>
      <c r="S1041" s="33">
        <v>0.33</v>
      </c>
      <c r="T1041" s="34">
        <f t="shared" si="33"/>
        <v>86.567164179104481</v>
      </c>
      <c r="U1041" s="34">
        <f t="shared" si="34"/>
        <v>87.649253731343279</v>
      </c>
      <c r="V1041" t="s">
        <v>79</v>
      </c>
      <c r="W1041" s="32">
        <v>15</v>
      </c>
      <c r="X1041" s="32" t="s">
        <v>80</v>
      </c>
      <c r="AD1041" s="1">
        <v>195018761378</v>
      </c>
      <c r="AN1041">
        <v>30</v>
      </c>
      <c r="AO1041" t="s">
        <v>81</v>
      </c>
    </row>
    <row r="1042" spans="1:41" ht="75" x14ac:dyDescent="0.25">
      <c r="A1042" s="2">
        <v>195018761231</v>
      </c>
      <c r="B1042" t="s">
        <v>71</v>
      </c>
      <c r="C1042" t="s">
        <v>72</v>
      </c>
      <c r="D1042" t="s">
        <v>3162</v>
      </c>
      <c r="E1042" t="s">
        <v>3163</v>
      </c>
      <c r="F1042">
        <v>316210</v>
      </c>
      <c r="G1042" s="35" t="s">
        <v>3136</v>
      </c>
      <c r="H1042" s="31" t="s">
        <v>3164</v>
      </c>
      <c r="J1042" t="s">
        <v>77</v>
      </c>
      <c r="M1042">
        <v>115</v>
      </c>
      <c r="P1042" t="s">
        <v>78</v>
      </c>
      <c r="Q1042" s="55">
        <v>105.45454545454544</v>
      </c>
      <c r="R1042" s="32">
        <v>58</v>
      </c>
      <c r="S1042" s="33">
        <v>0.33</v>
      </c>
      <c r="T1042" s="34">
        <f t="shared" si="33"/>
        <v>86.567164179104481</v>
      </c>
      <c r="U1042" s="34">
        <f t="shared" si="34"/>
        <v>87.649253731343279</v>
      </c>
      <c r="V1042" t="s">
        <v>79</v>
      </c>
      <c r="W1042" s="32">
        <v>15</v>
      </c>
      <c r="X1042" s="32" t="s">
        <v>80</v>
      </c>
      <c r="AD1042" s="1">
        <v>195018761231</v>
      </c>
      <c r="AN1042">
        <v>30</v>
      </c>
      <c r="AO1042" t="s">
        <v>81</v>
      </c>
    </row>
    <row r="1043" spans="1:41" ht="75" x14ac:dyDescent="0.25">
      <c r="A1043" s="2">
        <v>195018761385</v>
      </c>
      <c r="B1043" t="s">
        <v>71</v>
      </c>
      <c r="C1043" t="s">
        <v>72</v>
      </c>
      <c r="D1043" t="s">
        <v>3165</v>
      </c>
      <c r="E1043" t="s">
        <v>3166</v>
      </c>
      <c r="F1043">
        <v>316210</v>
      </c>
      <c r="G1043" s="35" t="s">
        <v>3136</v>
      </c>
      <c r="H1043" s="31" t="s">
        <v>3167</v>
      </c>
      <c r="J1043" t="s">
        <v>77</v>
      </c>
      <c r="M1043">
        <v>115</v>
      </c>
      <c r="P1043" t="s">
        <v>78</v>
      </c>
      <c r="Q1043" s="55">
        <v>105.45454545454544</v>
      </c>
      <c r="R1043" s="32">
        <v>58</v>
      </c>
      <c r="S1043" s="33">
        <v>0.33</v>
      </c>
      <c r="T1043" s="34">
        <f t="shared" si="33"/>
        <v>86.567164179104481</v>
      </c>
      <c r="U1043" s="34">
        <f t="shared" si="34"/>
        <v>87.649253731343279</v>
      </c>
      <c r="V1043" t="s">
        <v>79</v>
      </c>
      <c r="W1043" s="32">
        <v>15</v>
      </c>
      <c r="X1043" s="32" t="s">
        <v>80</v>
      </c>
      <c r="AD1043" s="1">
        <v>195018761385</v>
      </c>
      <c r="AN1043">
        <v>30</v>
      </c>
      <c r="AO1043" t="s">
        <v>81</v>
      </c>
    </row>
    <row r="1044" spans="1:41" ht="75" x14ac:dyDescent="0.25">
      <c r="A1044" s="2">
        <v>195018761248</v>
      </c>
      <c r="B1044" t="s">
        <v>71</v>
      </c>
      <c r="C1044" t="s">
        <v>72</v>
      </c>
      <c r="D1044" t="s">
        <v>3168</v>
      </c>
      <c r="E1044" t="s">
        <v>3169</v>
      </c>
      <c r="F1044">
        <v>316210</v>
      </c>
      <c r="G1044" s="35" t="s">
        <v>3136</v>
      </c>
      <c r="H1044" s="31" t="s">
        <v>3170</v>
      </c>
      <c r="J1044" t="s">
        <v>77</v>
      </c>
      <c r="M1044">
        <v>115</v>
      </c>
      <c r="P1044" t="s">
        <v>78</v>
      </c>
      <c r="Q1044" s="55">
        <v>105.45454545454544</v>
      </c>
      <c r="R1044" s="32">
        <v>58</v>
      </c>
      <c r="S1044" s="33">
        <v>0.33</v>
      </c>
      <c r="T1044" s="34">
        <f t="shared" si="33"/>
        <v>86.567164179104481</v>
      </c>
      <c r="U1044" s="34">
        <f t="shared" si="34"/>
        <v>87.649253731343279</v>
      </c>
      <c r="V1044" t="s">
        <v>79</v>
      </c>
      <c r="W1044" s="32">
        <v>15</v>
      </c>
      <c r="X1044" s="32" t="s">
        <v>80</v>
      </c>
      <c r="AD1044" s="1">
        <v>195018761248</v>
      </c>
      <c r="AN1044">
        <v>30</v>
      </c>
      <c r="AO1044" t="s">
        <v>81</v>
      </c>
    </row>
    <row r="1045" spans="1:41" ht="75" x14ac:dyDescent="0.25">
      <c r="A1045" s="2">
        <v>195018761392</v>
      </c>
      <c r="B1045" t="s">
        <v>71</v>
      </c>
      <c r="C1045" t="s">
        <v>72</v>
      </c>
      <c r="D1045" t="s">
        <v>3171</v>
      </c>
      <c r="E1045" t="s">
        <v>3172</v>
      </c>
      <c r="F1045">
        <v>316210</v>
      </c>
      <c r="G1045" s="35" t="s">
        <v>3136</v>
      </c>
      <c r="H1045" s="31" t="s">
        <v>3173</v>
      </c>
      <c r="J1045" t="s">
        <v>77</v>
      </c>
      <c r="M1045">
        <v>115</v>
      </c>
      <c r="P1045" t="s">
        <v>78</v>
      </c>
      <c r="Q1045" s="55">
        <v>105.45454545454544</v>
      </c>
      <c r="R1045" s="32">
        <v>58</v>
      </c>
      <c r="S1045" s="33">
        <v>0.33</v>
      </c>
      <c r="T1045" s="34">
        <f t="shared" si="33"/>
        <v>86.567164179104481</v>
      </c>
      <c r="U1045" s="34">
        <f t="shared" si="34"/>
        <v>87.649253731343279</v>
      </c>
      <c r="V1045" t="s">
        <v>79</v>
      </c>
      <c r="W1045" s="32">
        <v>15</v>
      </c>
      <c r="X1045" s="32" t="s">
        <v>80</v>
      </c>
      <c r="AD1045" s="1">
        <v>195018761392</v>
      </c>
      <c r="AN1045">
        <v>30</v>
      </c>
      <c r="AO1045" t="s">
        <v>81</v>
      </c>
    </row>
    <row r="1046" spans="1:41" ht="75" x14ac:dyDescent="0.25">
      <c r="A1046" s="2">
        <v>195018761255</v>
      </c>
      <c r="B1046" t="s">
        <v>71</v>
      </c>
      <c r="C1046" t="s">
        <v>72</v>
      </c>
      <c r="D1046" t="s">
        <v>3174</v>
      </c>
      <c r="E1046" t="s">
        <v>3175</v>
      </c>
      <c r="F1046">
        <v>316210</v>
      </c>
      <c r="G1046" s="35" t="s">
        <v>3136</v>
      </c>
      <c r="H1046" s="31" t="s">
        <v>3176</v>
      </c>
      <c r="J1046" t="s">
        <v>77</v>
      </c>
      <c r="M1046">
        <v>115</v>
      </c>
      <c r="P1046" t="s">
        <v>78</v>
      </c>
      <c r="Q1046" s="55">
        <v>105.45454545454544</v>
      </c>
      <c r="R1046" s="32">
        <v>58</v>
      </c>
      <c r="S1046" s="33">
        <v>0.33</v>
      </c>
      <c r="T1046" s="34">
        <f t="shared" si="33"/>
        <v>86.567164179104481</v>
      </c>
      <c r="U1046" s="34">
        <f t="shared" si="34"/>
        <v>87.649253731343279</v>
      </c>
      <c r="V1046" t="s">
        <v>79</v>
      </c>
      <c r="W1046" s="32">
        <v>15</v>
      </c>
      <c r="X1046" s="32" t="s">
        <v>80</v>
      </c>
      <c r="AD1046" s="1">
        <v>195018761255</v>
      </c>
      <c r="AN1046">
        <v>30</v>
      </c>
      <c r="AO1046" t="s">
        <v>81</v>
      </c>
    </row>
    <row r="1047" spans="1:41" ht="75" x14ac:dyDescent="0.25">
      <c r="A1047" s="2">
        <v>195018761408</v>
      </c>
      <c r="B1047" t="s">
        <v>71</v>
      </c>
      <c r="C1047" t="s">
        <v>72</v>
      </c>
      <c r="D1047" t="s">
        <v>3177</v>
      </c>
      <c r="E1047" t="s">
        <v>3178</v>
      </c>
      <c r="F1047">
        <v>316210</v>
      </c>
      <c r="G1047" s="35" t="s">
        <v>3136</v>
      </c>
      <c r="H1047" s="31" t="s">
        <v>3179</v>
      </c>
      <c r="J1047" t="s">
        <v>77</v>
      </c>
      <c r="M1047">
        <v>115</v>
      </c>
      <c r="P1047" t="s">
        <v>78</v>
      </c>
      <c r="Q1047" s="55">
        <v>105.45454545454544</v>
      </c>
      <c r="R1047" s="32">
        <v>58</v>
      </c>
      <c r="S1047" s="33">
        <v>0.33</v>
      </c>
      <c r="T1047" s="34">
        <f t="shared" si="33"/>
        <v>86.567164179104481</v>
      </c>
      <c r="U1047" s="34">
        <f t="shared" si="34"/>
        <v>87.649253731343279</v>
      </c>
      <c r="V1047" t="s">
        <v>79</v>
      </c>
      <c r="W1047" s="32">
        <v>15</v>
      </c>
      <c r="X1047" s="32" t="s">
        <v>80</v>
      </c>
      <c r="AD1047" s="1">
        <v>195018761408</v>
      </c>
      <c r="AN1047">
        <v>30</v>
      </c>
      <c r="AO1047" t="s">
        <v>81</v>
      </c>
    </row>
    <row r="1048" spans="1:41" ht="75" x14ac:dyDescent="0.25">
      <c r="A1048" s="2">
        <v>195018761262</v>
      </c>
      <c r="B1048" t="s">
        <v>71</v>
      </c>
      <c r="C1048" t="s">
        <v>72</v>
      </c>
      <c r="D1048" t="s">
        <v>3180</v>
      </c>
      <c r="E1048" t="s">
        <v>3181</v>
      </c>
      <c r="F1048">
        <v>316210</v>
      </c>
      <c r="G1048" s="35" t="s">
        <v>3136</v>
      </c>
      <c r="H1048" s="31" t="s">
        <v>3182</v>
      </c>
      <c r="J1048" t="s">
        <v>77</v>
      </c>
      <c r="M1048">
        <v>115</v>
      </c>
      <c r="P1048" t="s">
        <v>78</v>
      </c>
      <c r="Q1048" s="55">
        <v>105.45454545454544</v>
      </c>
      <c r="R1048" s="32">
        <v>58</v>
      </c>
      <c r="S1048" s="33">
        <v>0.33</v>
      </c>
      <c r="T1048" s="34">
        <f t="shared" si="33"/>
        <v>86.567164179104481</v>
      </c>
      <c r="U1048" s="34">
        <f t="shared" si="34"/>
        <v>87.649253731343279</v>
      </c>
      <c r="V1048" t="s">
        <v>79</v>
      </c>
      <c r="W1048" s="32">
        <v>15</v>
      </c>
      <c r="X1048" s="32" t="s">
        <v>80</v>
      </c>
      <c r="AD1048" s="1">
        <v>195018761262</v>
      </c>
      <c r="AN1048">
        <v>30</v>
      </c>
      <c r="AO1048" t="s">
        <v>81</v>
      </c>
    </row>
    <row r="1049" spans="1:41" ht="75" x14ac:dyDescent="0.25">
      <c r="A1049" s="2">
        <v>195018761415</v>
      </c>
      <c r="B1049" t="s">
        <v>71</v>
      </c>
      <c r="C1049" t="s">
        <v>72</v>
      </c>
      <c r="D1049" t="s">
        <v>3183</v>
      </c>
      <c r="E1049" t="s">
        <v>3184</v>
      </c>
      <c r="F1049">
        <v>316210</v>
      </c>
      <c r="G1049" s="35" t="s">
        <v>3136</v>
      </c>
      <c r="H1049" s="31" t="s">
        <v>3185</v>
      </c>
      <c r="J1049" t="s">
        <v>77</v>
      </c>
      <c r="M1049">
        <v>115</v>
      </c>
      <c r="P1049" t="s">
        <v>78</v>
      </c>
      <c r="Q1049" s="55">
        <v>105.45454545454544</v>
      </c>
      <c r="R1049" s="32">
        <v>58</v>
      </c>
      <c r="S1049" s="33">
        <v>0.33</v>
      </c>
      <c r="T1049" s="34">
        <f t="shared" si="33"/>
        <v>86.567164179104481</v>
      </c>
      <c r="U1049" s="34">
        <f t="shared" si="34"/>
        <v>87.649253731343279</v>
      </c>
      <c r="V1049" t="s">
        <v>79</v>
      </c>
      <c r="W1049" s="32">
        <v>15</v>
      </c>
      <c r="X1049" s="32" t="s">
        <v>80</v>
      </c>
      <c r="AD1049" s="1">
        <v>195018761415</v>
      </c>
      <c r="AN1049">
        <v>30</v>
      </c>
      <c r="AO1049" t="s">
        <v>81</v>
      </c>
    </row>
    <row r="1050" spans="1:41" ht="75" x14ac:dyDescent="0.25">
      <c r="A1050" s="2">
        <v>195018761279</v>
      </c>
      <c r="B1050" t="s">
        <v>71</v>
      </c>
      <c r="C1050" t="s">
        <v>72</v>
      </c>
      <c r="D1050" t="s">
        <v>3186</v>
      </c>
      <c r="E1050" t="s">
        <v>3187</v>
      </c>
      <c r="F1050">
        <v>316210</v>
      </c>
      <c r="G1050" s="35" t="s">
        <v>3136</v>
      </c>
      <c r="H1050" s="31" t="s">
        <v>3188</v>
      </c>
      <c r="J1050" t="s">
        <v>77</v>
      </c>
      <c r="M1050">
        <v>115</v>
      </c>
      <c r="P1050" t="s">
        <v>78</v>
      </c>
      <c r="Q1050" s="55">
        <v>105.45454545454544</v>
      </c>
      <c r="R1050" s="32">
        <v>58</v>
      </c>
      <c r="S1050" s="33">
        <v>0.33</v>
      </c>
      <c r="T1050" s="34">
        <f t="shared" si="33"/>
        <v>86.567164179104481</v>
      </c>
      <c r="U1050" s="34">
        <f t="shared" si="34"/>
        <v>87.649253731343279</v>
      </c>
      <c r="V1050" t="s">
        <v>79</v>
      </c>
      <c r="W1050" s="32">
        <v>15</v>
      </c>
      <c r="X1050" s="32" t="s">
        <v>80</v>
      </c>
      <c r="AD1050" s="1">
        <v>195018761279</v>
      </c>
      <c r="AN1050">
        <v>30</v>
      </c>
      <c r="AO1050" t="s">
        <v>81</v>
      </c>
    </row>
    <row r="1051" spans="1:41" ht="75" x14ac:dyDescent="0.25">
      <c r="A1051" s="2">
        <v>195018761422</v>
      </c>
      <c r="B1051" t="s">
        <v>71</v>
      </c>
      <c r="C1051" t="s">
        <v>72</v>
      </c>
      <c r="D1051" t="s">
        <v>3189</v>
      </c>
      <c r="E1051" t="s">
        <v>3190</v>
      </c>
      <c r="F1051">
        <v>316210</v>
      </c>
      <c r="G1051" s="35" t="s">
        <v>3136</v>
      </c>
      <c r="H1051" s="31" t="s">
        <v>3191</v>
      </c>
      <c r="J1051" t="s">
        <v>77</v>
      </c>
      <c r="M1051">
        <v>115</v>
      </c>
      <c r="P1051" t="s">
        <v>78</v>
      </c>
      <c r="Q1051" s="55">
        <v>105.45454545454544</v>
      </c>
      <c r="R1051" s="32">
        <v>58</v>
      </c>
      <c r="S1051" s="33">
        <v>0.33</v>
      </c>
      <c r="T1051" s="34">
        <f t="shared" si="33"/>
        <v>86.567164179104481</v>
      </c>
      <c r="U1051" s="34">
        <f t="shared" si="34"/>
        <v>87.649253731343279</v>
      </c>
      <c r="V1051" t="s">
        <v>79</v>
      </c>
      <c r="W1051" s="32">
        <v>15</v>
      </c>
      <c r="X1051" s="32" t="s">
        <v>80</v>
      </c>
      <c r="AD1051" s="1">
        <v>195018761422</v>
      </c>
      <c r="AN1051">
        <v>30</v>
      </c>
      <c r="AO1051" t="s">
        <v>81</v>
      </c>
    </row>
    <row r="1052" spans="1:41" ht="75" x14ac:dyDescent="0.25">
      <c r="A1052" s="2">
        <v>195018761286</v>
      </c>
      <c r="B1052" t="s">
        <v>71</v>
      </c>
      <c r="C1052" t="s">
        <v>72</v>
      </c>
      <c r="D1052" t="s">
        <v>3192</v>
      </c>
      <c r="E1052" t="s">
        <v>3193</v>
      </c>
      <c r="F1052">
        <v>316210</v>
      </c>
      <c r="G1052" s="35" t="s">
        <v>3136</v>
      </c>
      <c r="H1052" s="31" t="s">
        <v>3194</v>
      </c>
      <c r="J1052" t="s">
        <v>77</v>
      </c>
      <c r="M1052">
        <v>115</v>
      </c>
      <c r="P1052" t="s">
        <v>78</v>
      </c>
      <c r="Q1052" s="55">
        <v>105.45454545454544</v>
      </c>
      <c r="R1052" s="32">
        <v>58</v>
      </c>
      <c r="S1052" s="33">
        <v>0.33</v>
      </c>
      <c r="T1052" s="34">
        <f t="shared" si="33"/>
        <v>86.567164179104481</v>
      </c>
      <c r="U1052" s="34">
        <f t="shared" si="34"/>
        <v>87.649253731343279</v>
      </c>
      <c r="V1052" t="s">
        <v>79</v>
      </c>
      <c r="W1052" s="32">
        <v>15</v>
      </c>
      <c r="X1052" s="32" t="s">
        <v>80</v>
      </c>
      <c r="AD1052" s="1">
        <v>195018761286</v>
      </c>
      <c r="AN1052">
        <v>30</v>
      </c>
      <c r="AO1052" t="s">
        <v>81</v>
      </c>
    </row>
    <row r="1053" spans="1:41" ht="75" x14ac:dyDescent="0.25">
      <c r="A1053" s="2">
        <v>195018761439</v>
      </c>
      <c r="B1053" t="s">
        <v>71</v>
      </c>
      <c r="C1053" t="s">
        <v>72</v>
      </c>
      <c r="D1053" t="s">
        <v>3195</v>
      </c>
      <c r="E1053" t="s">
        <v>3196</v>
      </c>
      <c r="F1053">
        <v>316210</v>
      </c>
      <c r="G1053" s="35" t="s">
        <v>3136</v>
      </c>
      <c r="H1053" s="31" t="s">
        <v>3197</v>
      </c>
      <c r="J1053" t="s">
        <v>77</v>
      </c>
      <c r="M1053">
        <v>115</v>
      </c>
      <c r="P1053" t="s">
        <v>78</v>
      </c>
      <c r="Q1053" s="55">
        <v>105.45454545454544</v>
      </c>
      <c r="R1053" s="32">
        <v>58</v>
      </c>
      <c r="S1053" s="33">
        <v>0.33</v>
      </c>
      <c r="T1053" s="34">
        <f t="shared" si="33"/>
        <v>86.567164179104481</v>
      </c>
      <c r="U1053" s="34">
        <f t="shared" si="34"/>
        <v>87.649253731343279</v>
      </c>
      <c r="V1053" t="s">
        <v>79</v>
      </c>
      <c r="W1053" s="32">
        <v>15</v>
      </c>
      <c r="X1053" s="32" t="s">
        <v>80</v>
      </c>
      <c r="AD1053" s="1">
        <v>195018761439</v>
      </c>
      <c r="AN1053">
        <v>30</v>
      </c>
      <c r="AO1053" t="s">
        <v>81</v>
      </c>
    </row>
    <row r="1054" spans="1:41" ht="75" x14ac:dyDescent="0.25">
      <c r="A1054" s="2">
        <v>195018761293</v>
      </c>
      <c r="B1054" t="s">
        <v>71</v>
      </c>
      <c r="C1054" t="s">
        <v>72</v>
      </c>
      <c r="D1054" t="s">
        <v>3198</v>
      </c>
      <c r="E1054" t="s">
        <v>3199</v>
      </c>
      <c r="F1054">
        <v>316210</v>
      </c>
      <c r="G1054" s="35" t="s">
        <v>3136</v>
      </c>
      <c r="H1054" s="31" t="s">
        <v>3200</v>
      </c>
      <c r="J1054" t="s">
        <v>77</v>
      </c>
      <c r="M1054">
        <v>115</v>
      </c>
      <c r="P1054" t="s">
        <v>78</v>
      </c>
      <c r="Q1054" s="55">
        <v>105.45454545454544</v>
      </c>
      <c r="R1054" s="32">
        <v>58</v>
      </c>
      <c r="S1054" s="33">
        <v>0.33</v>
      </c>
      <c r="T1054" s="34">
        <f t="shared" si="33"/>
        <v>86.567164179104481</v>
      </c>
      <c r="U1054" s="34">
        <f t="shared" si="34"/>
        <v>87.649253731343279</v>
      </c>
      <c r="V1054" t="s">
        <v>79</v>
      </c>
      <c r="W1054" s="32">
        <v>15</v>
      </c>
      <c r="X1054" s="32" t="s">
        <v>80</v>
      </c>
      <c r="AD1054" s="1">
        <v>195018761293</v>
      </c>
      <c r="AN1054">
        <v>30</v>
      </c>
      <c r="AO1054" t="s">
        <v>81</v>
      </c>
    </row>
    <row r="1055" spans="1:41" ht="75" x14ac:dyDescent="0.25">
      <c r="A1055" s="2">
        <v>195018761446</v>
      </c>
      <c r="B1055" t="s">
        <v>71</v>
      </c>
      <c r="C1055" t="s">
        <v>72</v>
      </c>
      <c r="D1055" t="s">
        <v>3201</v>
      </c>
      <c r="E1055" t="s">
        <v>3202</v>
      </c>
      <c r="F1055">
        <v>316210</v>
      </c>
      <c r="G1055" s="35" t="s">
        <v>3136</v>
      </c>
      <c r="H1055" s="31" t="s">
        <v>3203</v>
      </c>
      <c r="J1055" t="s">
        <v>77</v>
      </c>
      <c r="M1055">
        <v>115</v>
      </c>
      <c r="P1055" t="s">
        <v>78</v>
      </c>
      <c r="Q1055" s="55">
        <v>105.45454545454544</v>
      </c>
      <c r="R1055" s="32">
        <v>58</v>
      </c>
      <c r="S1055" s="33">
        <v>0.33</v>
      </c>
      <c r="T1055" s="34">
        <f t="shared" si="33"/>
        <v>86.567164179104481</v>
      </c>
      <c r="U1055" s="34">
        <f t="shared" si="34"/>
        <v>87.649253731343279</v>
      </c>
      <c r="V1055" t="s">
        <v>79</v>
      </c>
      <c r="W1055" s="32">
        <v>15</v>
      </c>
      <c r="X1055" s="32" t="s">
        <v>80</v>
      </c>
      <c r="AD1055" s="1">
        <v>195018761446</v>
      </c>
      <c r="AN1055">
        <v>30</v>
      </c>
      <c r="AO1055" t="s">
        <v>81</v>
      </c>
    </row>
    <row r="1056" spans="1:41" ht="75" x14ac:dyDescent="0.25">
      <c r="A1056" s="2">
        <v>195018761309</v>
      </c>
      <c r="B1056" t="s">
        <v>71</v>
      </c>
      <c r="C1056" t="s">
        <v>72</v>
      </c>
      <c r="D1056" t="s">
        <v>3204</v>
      </c>
      <c r="E1056" t="s">
        <v>3205</v>
      </c>
      <c r="F1056">
        <v>316210</v>
      </c>
      <c r="G1056" s="35" t="s">
        <v>3136</v>
      </c>
      <c r="H1056" s="31" t="s">
        <v>3206</v>
      </c>
      <c r="J1056" t="s">
        <v>77</v>
      </c>
      <c r="M1056">
        <v>115</v>
      </c>
      <c r="P1056" t="s">
        <v>78</v>
      </c>
      <c r="Q1056" s="55">
        <v>105.45454545454544</v>
      </c>
      <c r="R1056" s="32">
        <v>58</v>
      </c>
      <c r="S1056" s="33">
        <v>0.33</v>
      </c>
      <c r="T1056" s="34">
        <f t="shared" si="33"/>
        <v>86.567164179104481</v>
      </c>
      <c r="U1056" s="34">
        <f t="shared" si="34"/>
        <v>87.649253731343279</v>
      </c>
      <c r="V1056" t="s">
        <v>79</v>
      </c>
      <c r="W1056" s="32">
        <v>15</v>
      </c>
      <c r="X1056" s="32" t="s">
        <v>80</v>
      </c>
      <c r="AD1056" s="1">
        <v>195018761309</v>
      </c>
      <c r="AN1056">
        <v>30</v>
      </c>
      <c r="AO1056" t="s">
        <v>81</v>
      </c>
    </row>
    <row r="1057" spans="1:41" ht="75" x14ac:dyDescent="0.25">
      <c r="A1057" s="2">
        <v>195018761453</v>
      </c>
      <c r="B1057" t="s">
        <v>71</v>
      </c>
      <c r="C1057" t="s">
        <v>72</v>
      </c>
      <c r="D1057" t="s">
        <v>3207</v>
      </c>
      <c r="E1057" t="s">
        <v>3208</v>
      </c>
      <c r="F1057">
        <v>316210</v>
      </c>
      <c r="G1057" s="35" t="s">
        <v>3136</v>
      </c>
      <c r="H1057" s="31" t="s">
        <v>3209</v>
      </c>
      <c r="J1057" t="s">
        <v>77</v>
      </c>
      <c r="M1057">
        <v>115</v>
      </c>
      <c r="P1057" t="s">
        <v>78</v>
      </c>
      <c r="Q1057" s="55">
        <v>105.45454545454544</v>
      </c>
      <c r="R1057" s="32">
        <v>58</v>
      </c>
      <c r="S1057" s="33">
        <v>0.33</v>
      </c>
      <c r="T1057" s="34">
        <f t="shared" si="33"/>
        <v>86.567164179104481</v>
      </c>
      <c r="U1057" s="34">
        <f t="shared" si="34"/>
        <v>87.649253731343279</v>
      </c>
      <c r="V1057" t="s">
        <v>79</v>
      </c>
      <c r="W1057" s="32">
        <v>15</v>
      </c>
      <c r="X1057" s="32" t="s">
        <v>80</v>
      </c>
      <c r="AD1057" s="1">
        <v>195018761453</v>
      </c>
      <c r="AN1057">
        <v>30</v>
      </c>
      <c r="AO1057" t="s">
        <v>81</v>
      </c>
    </row>
    <row r="1058" spans="1:41" ht="75" x14ac:dyDescent="0.25">
      <c r="A1058" s="2">
        <v>195018761316</v>
      </c>
      <c r="B1058" t="s">
        <v>71</v>
      </c>
      <c r="C1058" t="s">
        <v>72</v>
      </c>
      <c r="D1058" t="s">
        <v>3210</v>
      </c>
      <c r="E1058" t="s">
        <v>3211</v>
      </c>
      <c r="F1058">
        <v>316210</v>
      </c>
      <c r="G1058" s="35" t="s">
        <v>3136</v>
      </c>
      <c r="H1058" s="31" t="s">
        <v>3212</v>
      </c>
      <c r="J1058" t="s">
        <v>77</v>
      </c>
      <c r="M1058">
        <v>115</v>
      </c>
      <c r="P1058" t="s">
        <v>78</v>
      </c>
      <c r="Q1058" s="55">
        <v>105.45454545454544</v>
      </c>
      <c r="R1058" s="32">
        <v>58</v>
      </c>
      <c r="S1058" s="33">
        <v>0.33</v>
      </c>
      <c r="T1058" s="34">
        <f t="shared" si="33"/>
        <v>86.567164179104481</v>
      </c>
      <c r="U1058" s="34">
        <f t="shared" si="34"/>
        <v>87.649253731343279</v>
      </c>
      <c r="V1058" t="s">
        <v>79</v>
      </c>
      <c r="W1058" s="32">
        <v>15</v>
      </c>
      <c r="X1058" s="32" t="s">
        <v>80</v>
      </c>
      <c r="AD1058" s="1">
        <v>195018761316</v>
      </c>
      <c r="AN1058">
        <v>30</v>
      </c>
      <c r="AO1058" t="s">
        <v>81</v>
      </c>
    </row>
    <row r="1059" spans="1:41" ht="75" x14ac:dyDescent="0.25">
      <c r="A1059" s="2">
        <v>195018761460</v>
      </c>
      <c r="B1059" t="s">
        <v>71</v>
      </c>
      <c r="C1059" t="s">
        <v>72</v>
      </c>
      <c r="D1059" t="s">
        <v>3213</v>
      </c>
      <c r="E1059" t="s">
        <v>3214</v>
      </c>
      <c r="F1059">
        <v>316210</v>
      </c>
      <c r="G1059" s="35" t="s">
        <v>3136</v>
      </c>
      <c r="H1059" s="31" t="s">
        <v>3215</v>
      </c>
      <c r="J1059" t="s">
        <v>77</v>
      </c>
      <c r="M1059">
        <v>115</v>
      </c>
      <c r="P1059" t="s">
        <v>78</v>
      </c>
      <c r="Q1059" s="55">
        <v>105.45454545454544</v>
      </c>
      <c r="R1059" s="32">
        <v>58</v>
      </c>
      <c r="S1059" s="33">
        <v>0.33</v>
      </c>
      <c r="T1059" s="34">
        <f t="shared" si="33"/>
        <v>86.567164179104481</v>
      </c>
      <c r="U1059" s="34">
        <f t="shared" si="34"/>
        <v>87.649253731343279</v>
      </c>
      <c r="V1059" t="s">
        <v>79</v>
      </c>
      <c r="W1059" s="32">
        <v>15</v>
      </c>
      <c r="X1059" s="32" t="s">
        <v>80</v>
      </c>
      <c r="AD1059" s="1">
        <v>195018761460</v>
      </c>
      <c r="AN1059">
        <v>30</v>
      </c>
      <c r="AO1059" t="s">
        <v>81</v>
      </c>
    </row>
    <row r="1060" spans="1:41" ht="75" x14ac:dyDescent="0.25">
      <c r="A1060" s="2">
        <v>195018761323</v>
      </c>
      <c r="B1060" t="s">
        <v>71</v>
      </c>
      <c r="C1060" t="s">
        <v>72</v>
      </c>
      <c r="D1060" t="s">
        <v>3216</v>
      </c>
      <c r="E1060" t="s">
        <v>3217</v>
      </c>
      <c r="F1060">
        <v>316210</v>
      </c>
      <c r="G1060" s="35" t="s">
        <v>3136</v>
      </c>
      <c r="H1060" s="31" t="s">
        <v>3218</v>
      </c>
      <c r="J1060" t="s">
        <v>77</v>
      </c>
      <c r="M1060">
        <v>115</v>
      </c>
      <c r="P1060" t="s">
        <v>78</v>
      </c>
      <c r="Q1060" s="55">
        <v>105.45454545454544</v>
      </c>
      <c r="R1060" s="32">
        <v>58</v>
      </c>
      <c r="S1060" s="33">
        <v>0.33</v>
      </c>
      <c r="T1060" s="34">
        <f t="shared" si="33"/>
        <v>86.567164179104481</v>
      </c>
      <c r="U1060" s="34">
        <f t="shared" si="34"/>
        <v>87.649253731343279</v>
      </c>
      <c r="V1060" t="s">
        <v>79</v>
      </c>
      <c r="W1060" s="32">
        <v>15</v>
      </c>
      <c r="X1060" s="32" t="s">
        <v>80</v>
      </c>
      <c r="AD1060" s="1">
        <v>195018761323</v>
      </c>
      <c r="AN1060">
        <v>30</v>
      </c>
      <c r="AO1060" t="s">
        <v>81</v>
      </c>
    </row>
    <row r="1061" spans="1:41" ht="90" x14ac:dyDescent="0.25">
      <c r="A1061" s="2">
        <v>195018780003</v>
      </c>
      <c r="B1061" t="s">
        <v>71</v>
      </c>
      <c r="C1061" t="s">
        <v>72</v>
      </c>
      <c r="D1061" t="s">
        <v>3219</v>
      </c>
      <c r="E1061" t="s">
        <v>3220</v>
      </c>
      <c r="F1061">
        <v>316210</v>
      </c>
      <c r="G1061" s="35" t="s">
        <v>3221</v>
      </c>
      <c r="H1061" s="31" t="s">
        <v>3222</v>
      </c>
      <c r="J1061" t="s">
        <v>77</v>
      </c>
      <c r="M1061">
        <v>110</v>
      </c>
      <c r="P1061" t="s">
        <v>78</v>
      </c>
      <c r="Q1061" s="55">
        <v>99.999999999999986</v>
      </c>
      <c r="R1061" s="32">
        <v>55</v>
      </c>
      <c r="S1061" s="33">
        <v>0.33</v>
      </c>
      <c r="T1061" s="34">
        <f t="shared" si="33"/>
        <v>82.089552238805979</v>
      </c>
      <c r="U1061" s="34">
        <f t="shared" si="34"/>
        <v>83.115671641791053</v>
      </c>
      <c r="V1061" t="s">
        <v>79</v>
      </c>
      <c r="W1061" s="32">
        <v>15</v>
      </c>
      <c r="X1061" s="32" t="s">
        <v>80</v>
      </c>
      <c r="AD1061" s="1">
        <v>195018780003</v>
      </c>
      <c r="AN1061">
        <v>30</v>
      </c>
      <c r="AO1061" t="s">
        <v>81</v>
      </c>
    </row>
    <row r="1062" spans="1:41" ht="90" x14ac:dyDescent="0.25">
      <c r="A1062" s="2">
        <v>195018780041</v>
      </c>
      <c r="B1062" t="s">
        <v>71</v>
      </c>
      <c r="C1062" t="s">
        <v>72</v>
      </c>
      <c r="D1062" t="s">
        <v>3223</v>
      </c>
      <c r="E1062" t="s">
        <v>3224</v>
      </c>
      <c r="F1062">
        <v>316210</v>
      </c>
      <c r="G1062" s="35" t="s">
        <v>3221</v>
      </c>
      <c r="H1062" s="31" t="s">
        <v>3225</v>
      </c>
      <c r="J1062" t="s">
        <v>77</v>
      </c>
      <c r="M1062">
        <v>110</v>
      </c>
      <c r="P1062" t="s">
        <v>78</v>
      </c>
      <c r="Q1062" s="55">
        <v>99.999999999999986</v>
      </c>
      <c r="R1062" s="32">
        <v>55</v>
      </c>
      <c r="S1062" s="33">
        <v>0.33</v>
      </c>
      <c r="T1062" s="34">
        <f t="shared" si="33"/>
        <v>82.089552238805979</v>
      </c>
      <c r="U1062" s="34">
        <f t="shared" si="34"/>
        <v>83.115671641791053</v>
      </c>
      <c r="V1062" t="s">
        <v>79</v>
      </c>
      <c r="W1062" s="32">
        <v>15</v>
      </c>
      <c r="X1062" s="32" t="s">
        <v>80</v>
      </c>
      <c r="AD1062" s="1">
        <v>195018780041</v>
      </c>
      <c r="AN1062">
        <v>30</v>
      </c>
      <c r="AO1062" t="s">
        <v>81</v>
      </c>
    </row>
    <row r="1063" spans="1:41" ht="90" x14ac:dyDescent="0.25">
      <c r="A1063" s="2">
        <v>195018780010</v>
      </c>
      <c r="B1063" t="s">
        <v>71</v>
      </c>
      <c r="C1063" t="s">
        <v>72</v>
      </c>
      <c r="D1063" t="s">
        <v>3226</v>
      </c>
      <c r="E1063" t="s">
        <v>3227</v>
      </c>
      <c r="F1063">
        <v>316210</v>
      </c>
      <c r="G1063" s="35" t="s">
        <v>3221</v>
      </c>
      <c r="H1063" s="31" t="s">
        <v>3228</v>
      </c>
      <c r="J1063" t="s">
        <v>77</v>
      </c>
      <c r="M1063">
        <v>110</v>
      </c>
      <c r="P1063" t="s">
        <v>78</v>
      </c>
      <c r="Q1063" s="55">
        <v>99.999999999999986</v>
      </c>
      <c r="R1063" s="32">
        <v>55</v>
      </c>
      <c r="S1063" s="33">
        <v>0.33</v>
      </c>
      <c r="T1063" s="34">
        <f t="shared" si="33"/>
        <v>82.089552238805979</v>
      </c>
      <c r="U1063" s="34">
        <f t="shared" si="34"/>
        <v>83.115671641791053</v>
      </c>
      <c r="V1063" t="s">
        <v>79</v>
      </c>
      <c r="W1063" s="32">
        <v>15</v>
      </c>
      <c r="X1063" s="32" t="s">
        <v>80</v>
      </c>
      <c r="AD1063" s="1">
        <v>195018780010</v>
      </c>
      <c r="AN1063">
        <v>30</v>
      </c>
      <c r="AO1063" t="s">
        <v>81</v>
      </c>
    </row>
    <row r="1064" spans="1:41" ht="90" x14ac:dyDescent="0.25">
      <c r="A1064" s="2">
        <v>195018780058</v>
      </c>
      <c r="B1064" t="s">
        <v>71</v>
      </c>
      <c r="C1064" t="s">
        <v>72</v>
      </c>
      <c r="D1064" t="s">
        <v>3229</v>
      </c>
      <c r="E1064" t="s">
        <v>3230</v>
      </c>
      <c r="F1064">
        <v>316210</v>
      </c>
      <c r="G1064" s="35" t="s">
        <v>3221</v>
      </c>
      <c r="H1064" s="31" t="s">
        <v>3231</v>
      </c>
      <c r="J1064" t="s">
        <v>77</v>
      </c>
      <c r="M1064">
        <v>110</v>
      </c>
      <c r="P1064" t="s">
        <v>78</v>
      </c>
      <c r="Q1064" s="55">
        <v>99.999999999999986</v>
      </c>
      <c r="R1064" s="32">
        <v>55</v>
      </c>
      <c r="S1064" s="33">
        <v>0.33</v>
      </c>
      <c r="T1064" s="34">
        <f t="shared" si="33"/>
        <v>82.089552238805979</v>
      </c>
      <c r="U1064" s="34">
        <f t="shared" si="34"/>
        <v>83.115671641791053</v>
      </c>
      <c r="V1064" t="s">
        <v>79</v>
      </c>
      <c r="W1064" s="32">
        <v>15</v>
      </c>
      <c r="X1064" s="32" t="s">
        <v>80</v>
      </c>
      <c r="AD1064" s="1">
        <v>195018780058</v>
      </c>
      <c r="AN1064">
        <v>30</v>
      </c>
      <c r="AO1064" t="s">
        <v>81</v>
      </c>
    </row>
    <row r="1065" spans="1:41" ht="90" x14ac:dyDescent="0.25">
      <c r="A1065" s="2">
        <v>195018780027</v>
      </c>
      <c r="B1065" t="s">
        <v>71</v>
      </c>
      <c r="C1065" t="s">
        <v>72</v>
      </c>
      <c r="D1065" t="s">
        <v>3232</v>
      </c>
      <c r="E1065" t="s">
        <v>3233</v>
      </c>
      <c r="F1065">
        <v>316210</v>
      </c>
      <c r="G1065" s="35" t="s">
        <v>3221</v>
      </c>
      <c r="H1065" s="31" t="s">
        <v>3234</v>
      </c>
      <c r="J1065" t="s">
        <v>77</v>
      </c>
      <c r="M1065">
        <v>110</v>
      </c>
      <c r="P1065" t="s">
        <v>78</v>
      </c>
      <c r="Q1065" s="55">
        <v>99.999999999999986</v>
      </c>
      <c r="R1065" s="32">
        <v>55</v>
      </c>
      <c r="S1065" s="33">
        <v>0.33</v>
      </c>
      <c r="T1065" s="34">
        <f t="shared" si="33"/>
        <v>82.089552238805979</v>
      </c>
      <c r="U1065" s="34">
        <f t="shared" si="34"/>
        <v>83.115671641791053</v>
      </c>
      <c r="V1065" t="s">
        <v>79</v>
      </c>
      <c r="W1065" s="32">
        <v>15</v>
      </c>
      <c r="X1065" s="32" t="s">
        <v>80</v>
      </c>
      <c r="AD1065" s="1">
        <v>195018780027</v>
      </c>
      <c r="AN1065">
        <v>30</v>
      </c>
      <c r="AO1065" t="s">
        <v>81</v>
      </c>
    </row>
    <row r="1066" spans="1:41" ht="90" x14ac:dyDescent="0.25">
      <c r="A1066" s="2">
        <v>195018780065</v>
      </c>
      <c r="B1066" t="s">
        <v>71</v>
      </c>
      <c r="C1066" t="s">
        <v>72</v>
      </c>
      <c r="D1066" t="s">
        <v>3235</v>
      </c>
      <c r="E1066" t="s">
        <v>3236</v>
      </c>
      <c r="F1066">
        <v>316210</v>
      </c>
      <c r="G1066" s="35" t="s">
        <v>3221</v>
      </c>
      <c r="H1066" s="31" t="s">
        <v>3237</v>
      </c>
      <c r="J1066" t="s">
        <v>77</v>
      </c>
      <c r="M1066">
        <v>110</v>
      </c>
      <c r="P1066" t="s">
        <v>78</v>
      </c>
      <c r="Q1066" s="55">
        <v>99.999999999999986</v>
      </c>
      <c r="R1066" s="32">
        <v>55</v>
      </c>
      <c r="S1066" s="33">
        <v>0.33</v>
      </c>
      <c r="T1066" s="34">
        <f t="shared" si="33"/>
        <v>82.089552238805979</v>
      </c>
      <c r="U1066" s="34">
        <f t="shared" si="34"/>
        <v>83.115671641791053</v>
      </c>
      <c r="V1066" t="s">
        <v>79</v>
      </c>
      <c r="W1066" s="32">
        <v>15</v>
      </c>
      <c r="X1066" s="32" t="s">
        <v>80</v>
      </c>
      <c r="AD1066" s="1">
        <v>195018780065</v>
      </c>
      <c r="AN1066">
        <v>30</v>
      </c>
      <c r="AO1066" t="s">
        <v>81</v>
      </c>
    </row>
    <row r="1067" spans="1:41" ht="90" x14ac:dyDescent="0.25">
      <c r="A1067" s="2">
        <v>195018780034</v>
      </c>
      <c r="B1067" t="s">
        <v>71</v>
      </c>
      <c r="C1067" t="s">
        <v>72</v>
      </c>
      <c r="D1067" t="s">
        <v>3238</v>
      </c>
      <c r="E1067" t="s">
        <v>3239</v>
      </c>
      <c r="F1067">
        <v>316210</v>
      </c>
      <c r="G1067" s="35" t="s">
        <v>3221</v>
      </c>
      <c r="H1067" s="31" t="s">
        <v>3240</v>
      </c>
      <c r="J1067" t="s">
        <v>77</v>
      </c>
      <c r="M1067">
        <v>110</v>
      </c>
      <c r="P1067" t="s">
        <v>78</v>
      </c>
      <c r="Q1067" s="55">
        <v>99.999999999999986</v>
      </c>
      <c r="R1067" s="32">
        <v>55</v>
      </c>
      <c r="S1067" s="33">
        <v>0.33</v>
      </c>
      <c r="T1067" s="34">
        <f t="shared" si="33"/>
        <v>82.089552238805979</v>
      </c>
      <c r="U1067" s="34">
        <f t="shared" si="34"/>
        <v>83.115671641791053</v>
      </c>
      <c r="V1067" t="s">
        <v>79</v>
      </c>
      <c r="W1067" s="32">
        <v>15</v>
      </c>
      <c r="X1067" s="32" t="s">
        <v>80</v>
      </c>
      <c r="AD1067" s="1">
        <v>195018780034</v>
      </c>
      <c r="AN1067">
        <v>30</v>
      </c>
      <c r="AO1067" t="s">
        <v>81</v>
      </c>
    </row>
    <row r="1068" spans="1:41" ht="90" x14ac:dyDescent="0.25">
      <c r="A1068" s="2">
        <v>195018780072</v>
      </c>
      <c r="B1068" t="s">
        <v>71</v>
      </c>
      <c r="C1068" t="s">
        <v>72</v>
      </c>
      <c r="D1068" t="s">
        <v>3241</v>
      </c>
      <c r="E1068" t="s">
        <v>3242</v>
      </c>
      <c r="F1068">
        <v>316210</v>
      </c>
      <c r="G1068" s="35" t="s">
        <v>3221</v>
      </c>
      <c r="H1068" s="31" t="s">
        <v>3243</v>
      </c>
      <c r="J1068" t="s">
        <v>77</v>
      </c>
      <c r="M1068">
        <v>110</v>
      </c>
      <c r="P1068" t="s">
        <v>78</v>
      </c>
      <c r="Q1068" s="55">
        <v>99.999999999999986</v>
      </c>
      <c r="R1068" s="32">
        <v>55</v>
      </c>
      <c r="S1068" s="33">
        <v>0.33</v>
      </c>
      <c r="T1068" s="34">
        <f t="shared" si="33"/>
        <v>82.089552238805979</v>
      </c>
      <c r="U1068" s="34">
        <f t="shared" si="34"/>
        <v>83.115671641791053</v>
      </c>
      <c r="V1068" t="s">
        <v>79</v>
      </c>
      <c r="W1068" s="32">
        <v>15</v>
      </c>
      <c r="X1068" s="32" t="s">
        <v>80</v>
      </c>
      <c r="AD1068" s="1">
        <v>195018780072</v>
      </c>
      <c r="AN1068">
        <v>30</v>
      </c>
      <c r="AO1068" t="s">
        <v>81</v>
      </c>
    </row>
    <row r="1069" spans="1:41" ht="90" x14ac:dyDescent="0.25">
      <c r="A1069" s="2">
        <v>195018761613</v>
      </c>
      <c r="B1069" t="s">
        <v>71</v>
      </c>
      <c r="C1069" t="s">
        <v>72</v>
      </c>
      <c r="D1069" t="s">
        <v>3244</v>
      </c>
      <c r="E1069" t="s">
        <v>3245</v>
      </c>
      <c r="F1069">
        <v>316210</v>
      </c>
      <c r="G1069" s="35" t="s">
        <v>3221</v>
      </c>
      <c r="H1069" s="31" t="s">
        <v>3246</v>
      </c>
      <c r="J1069" t="s">
        <v>77</v>
      </c>
      <c r="M1069">
        <v>110</v>
      </c>
      <c r="P1069" t="s">
        <v>78</v>
      </c>
      <c r="Q1069" s="55">
        <v>99.999999999999986</v>
      </c>
      <c r="R1069" s="32">
        <v>55</v>
      </c>
      <c r="S1069" s="33">
        <v>0.33</v>
      </c>
      <c r="T1069" s="34">
        <f t="shared" si="33"/>
        <v>82.089552238805979</v>
      </c>
      <c r="U1069" s="34">
        <f t="shared" si="34"/>
        <v>83.115671641791053</v>
      </c>
      <c r="V1069" t="s">
        <v>79</v>
      </c>
      <c r="W1069" s="32">
        <v>15</v>
      </c>
      <c r="X1069" s="32" t="s">
        <v>80</v>
      </c>
      <c r="AD1069" s="1">
        <v>195018761613</v>
      </c>
      <c r="AN1069">
        <v>30</v>
      </c>
      <c r="AO1069" t="s">
        <v>81</v>
      </c>
    </row>
    <row r="1070" spans="1:41" ht="90" x14ac:dyDescent="0.25">
      <c r="A1070" s="2">
        <v>195018780089</v>
      </c>
      <c r="B1070" t="s">
        <v>71</v>
      </c>
      <c r="C1070" t="s">
        <v>72</v>
      </c>
      <c r="D1070" t="s">
        <v>3247</v>
      </c>
      <c r="E1070" t="s">
        <v>3248</v>
      </c>
      <c r="F1070">
        <v>316210</v>
      </c>
      <c r="G1070" s="35" t="s">
        <v>3221</v>
      </c>
      <c r="H1070" s="31" t="s">
        <v>3249</v>
      </c>
      <c r="J1070" t="s">
        <v>77</v>
      </c>
      <c r="M1070">
        <v>110</v>
      </c>
      <c r="P1070" t="s">
        <v>78</v>
      </c>
      <c r="Q1070" s="55">
        <v>99.999999999999986</v>
      </c>
      <c r="R1070" s="32">
        <v>55</v>
      </c>
      <c r="S1070" s="33">
        <v>0.33</v>
      </c>
      <c r="T1070" s="34">
        <f t="shared" si="33"/>
        <v>82.089552238805979</v>
      </c>
      <c r="U1070" s="34">
        <f t="shared" si="34"/>
        <v>83.115671641791053</v>
      </c>
      <c r="V1070" t="s">
        <v>79</v>
      </c>
      <c r="W1070" s="32">
        <v>15</v>
      </c>
      <c r="X1070" s="32" t="s">
        <v>80</v>
      </c>
      <c r="AD1070" s="1">
        <v>195018780089</v>
      </c>
      <c r="AN1070">
        <v>30</v>
      </c>
      <c r="AO1070" t="s">
        <v>81</v>
      </c>
    </row>
    <row r="1071" spans="1:41" ht="90" x14ac:dyDescent="0.25">
      <c r="A1071" s="2">
        <v>195018761620</v>
      </c>
      <c r="B1071" t="s">
        <v>71</v>
      </c>
      <c r="C1071" t="s">
        <v>72</v>
      </c>
      <c r="D1071" t="s">
        <v>3250</v>
      </c>
      <c r="E1071" t="s">
        <v>3251</v>
      </c>
      <c r="F1071">
        <v>316210</v>
      </c>
      <c r="G1071" s="35" t="s">
        <v>3221</v>
      </c>
      <c r="H1071" s="31" t="s">
        <v>3252</v>
      </c>
      <c r="J1071" t="s">
        <v>77</v>
      </c>
      <c r="M1071">
        <v>110</v>
      </c>
      <c r="P1071" t="s">
        <v>78</v>
      </c>
      <c r="Q1071" s="55">
        <v>99.999999999999986</v>
      </c>
      <c r="R1071" s="32">
        <v>55</v>
      </c>
      <c r="S1071" s="33">
        <v>0.33</v>
      </c>
      <c r="T1071" s="34">
        <f t="shared" si="33"/>
        <v>82.089552238805979</v>
      </c>
      <c r="U1071" s="34">
        <f t="shared" si="34"/>
        <v>83.115671641791053</v>
      </c>
      <c r="V1071" t="s">
        <v>79</v>
      </c>
      <c r="W1071" s="32">
        <v>15</v>
      </c>
      <c r="X1071" s="32" t="s">
        <v>80</v>
      </c>
      <c r="AD1071" s="1">
        <v>195018761620</v>
      </c>
      <c r="AN1071">
        <v>30</v>
      </c>
      <c r="AO1071" t="s">
        <v>81</v>
      </c>
    </row>
    <row r="1072" spans="1:41" ht="90" x14ac:dyDescent="0.25">
      <c r="A1072" s="2">
        <v>195018780096</v>
      </c>
      <c r="B1072" t="s">
        <v>71</v>
      </c>
      <c r="C1072" t="s">
        <v>72</v>
      </c>
      <c r="D1072" t="s">
        <v>3253</v>
      </c>
      <c r="E1072" t="s">
        <v>3254</v>
      </c>
      <c r="F1072">
        <v>316210</v>
      </c>
      <c r="G1072" s="35" t="s">
        <v>3221</v>
      </c>
      <c r="H1072" s="31" t="s">
        <v>3255</v>
      </c>
      <c r="J1072" t="s">
        <v>77</v>
      </c>
      <c r="M1072">
        <v>110</v>
      </c>
      <c r="P1072" t="s">
        <v>78</v>
      </c>
      <c r="Q1072" s="55">
        <v>99.999999999999986</v>
      </c>
      <c r="R1072" s="32">
        <v>55</v>
      </c>
      <c r="S1072" s="33">
        <v>0.33</v>
      </c>
      <c r="T1072" s="34">
        <f t="shared" si="33"/>
        <v>82.089552238805979</v>
      </c>
      <c r="U1072" s="34">
        <f t="shared" si="34"/>
        <v>83.115671641791053</v>
      </c>
      <c r="V1072" t="s">
        <v>79</v>
      </c>
      <c r="W1072" s="32">
        <v>15</v>
      </c>
      <c r="X1072" s="32" t="s">
        <v>80</v>
      </c>
      <c r="AD1072" s="1">
        <v>195018780096</v>
      </c>
      <c r="AN1072">
        <v>30</v>
      </c>
      <c r="AO1072" t="s">
        <v>81</v>
      </c>
    </row>
    <row r="1073" spans="1:41" ht="90" x14ac:dyDescent="0.25">
      <c r="A1073" s="2">
        <v>195018761637</v>
      </c>
      <c r="B1073" t="s">
        <v>71</v>
      </c>
      <c r="C1073" t="s">
        <v>72</v>
      </c>
      <c r="D1073" t="s">
        <v>3256</v>
      </c>
      <c r="E1073" t="s">
        <v>3257</v>
      </c>
      <c r="F1073">
        <v>316210</v>
      </c>
      <c r="G1073" s="35" t="s">
        <v>3221</v>
      </c>
      <c r="H1073" s="31" t="s">
        <v>3258</v>
      </c>
      <c r="J1073" t="s">
        <v>77</v>
      </c>
      <c r="M1073">
        <v>110</v>
      </c>
      <c r="P1073" t="s">
        <v>78</v>
      </c>
      <c r="Q1073" s="55">
        <v>99.999999999999986</v>
      </c>
      <c r="R1073" s="32">
        <v>55</v>
      </c>
      <c r="S1073" s="33">
        <v>0.33</v>
      </c>
      <c r="T1073" s="34">
        <f t="shared" si="33"/>
        <v>82.089552238805979</v>
      </c>
      <c r="U1073" s="34">
        <f t="shared" si="34"/>
        <v>83.115671641791053</v>
      </c>
      <c r="V1073" t="s">
        <v>79</v>
      </c>
      <c r="W1073" s="32">
        <v>15</v>
      </c>
      <c r="X1073" s="32" t="s">
        <v>80</v>
      </c>
      <c r="AD1073" s="1">
        <v>195018761637</v>
      </c>
      <c r="AN1073">
        <v>30</v>
      </c>
      <c r="AO1073" t="s">
        <v>81</v>
      </c>
    </row>
    <row r="1074" spans="1:41" ht="90" x14ac:dyDescent="0.25">
      <c r="A1074" s="2">
        <v>195018780102</v>
      </c>
      <c r="B1074" t="s">
        <v>71</v>
      </c>
      <c r="C1074" t="s">
        <v>72</v>
      </c>
      <c r="D1074" t="s">
        <v>3259</v>
      </c>
      <c r="E1074" t="s">
        <v>3260</v>
      </c>
      <c r="F1074">
        <v>316210</v>
      </c>
      <c r="G1074" s="35" t="s">
        <v>3221</v>
      </c>
      <c r="H1074" s="31" t="s">
        <v>3261</v>
      </c>
      <c r="J1074" t="s">
        <v>77</v>
      </c>
      <c r="M1074">
        <v>110</v>
      </c>
      <c r="P1074" t="s">
        <v>78</v>
      </c>
      <c r="Q1074" s="55">
        <v>99.999999999999986</v>
      </c>
      <c r="R1074" s="32">
        <v>55</v>
      </c>
      <c r="S1074" s="33">
        <v>0.33</v>
      </c>
      <c r="T1074" s="34">
        <f t="shared" si="33"/>
        <v>82.089552238805979</v>
      </c>
      <c r="U1074" s="34">
        <f t="shared" si="34"/>
        <v>83.115671641791053</v>
      </c>
      <c r="V1074" t="s">
        <v>79</v>
      </c>
      <c r="W1074" s="32">
        <v>15</v>
      </c>
      <c r="X1074" s="32" t="s">
        <v>80</v>
      </c>
      <c r="AD1074" s="1">
        <v>195018780102</v>
      </c>
      <c r="AN1074">
        <v>30</v>
      </c>
      <c r="AO1074" t="s">
        <v>81</v>
      </c>
    </row>
    <row r="1075" spans="1:41" ht="90" x14ac:dyDescent="0.25">
      <c r="A1075" s="2">
        <v>195018761644</v>
      </c>
      <c r="B1075" t="s">
        <v>71</v>
      </c>
      <c r="C1075" t="s">
        <v>72</v>
      </c>
      <c r="D1075" t="s">
        <v>3262</v>
      </c>
      <c r="E1075" t="s">
        <v>3263</v>
      </c>
      <c r="F1075">
        <v>316210</v>
      </c>
      <c r="G1075" s="35" t="s">
        <v>3221</v>
      </c>
      <c r="H1075" s="31" t="s">
        <v>3264</v>
      </c>
      <c r="J1075" t="s">
        <v>77</v>
      </c>
      <c r="M1075">
        <v>110</v>
      </c>
      <c r="P1075" t="s">
        <v>78</v>
      </c>
      <c r="Q1075" s="55">
        <v>99.999999999999986</v>
      </c>
      <c r="R1075" s="32">
        <v>55</v>
      </c>
      <c r="S1075" s="33">
        <v>0.33</v>
      </c>
      <c r="T1075" s="34">
        <f t="shared" si="33"/>
        <v>82.089552238805979</v>
      </c>
      <c r="U1075" s="34">
        <f t="shared" si="34"/>
        <v>83.115671641791053</v>
      </c>
      <c r="V1075" t="s">
        <v>79</v>
      </c>
      <c r="W1075" s="32">
        <v>15</v>
      </c>
      <c r="X1075" s="32" t="s">
        <v>80</v>
      </c>
      <c r="AD1075" s="1">
        <v>195018761644</v>
      </c>
      <c r="AN1075">
        <v>30</v>
      </c>
      <c r="AO1075" t="s">
        <v>81</v>
      </c>
    </row>
    <row r="1076" spans="1:41" ht="90" x14ac:dyDescent="0.25">
      <c r="A1076" s="2">
        <v>195018780119</v>
      </c>
      <c r="B1076" t="s">
        <v>71</v>
      </c>
      <c r="C1076" t="s">
        <v>72</v>
      </c>
      <c r="D1076" t="s">
        <v>3265</v>
      </c>
      <c r="E1076" t="s">
        <v>3266</v>
      </c>
      <c r="F1076">
        <v>316210</v>
      </c>
      <c r="G1076" s="35" t="s">
        <v>3221</v>
      </c>
      <c r="H1076" s="31" t="s">
        <v>3267</v>
      </c>
      <c r="J1076" t="s">
        <v>77</v>
      </c>
      <c r="M1076">
        <v>110</v>
      </c>
      <c r="P1076" t="s">
        <v>78</v>
      </c>
      <c r="Q1076" s="55">
        <v>99.999999999999986</v>
      </c>
      <c r="R1076" s="32">
        <v>55</v>
      </c>
      <c r="S1076" s="33">
        <v>0.33</v>
      </c>
      <c r="T1076" s="34">
        <f t="shared" si="33"/>
        <v>82.089552238805979</v>
      </c>
      <c r="U1076" s="34">
        <f t="shared" si="34"/>
        <v>83.115671641791053</v>
      </c>
      <c r="V1076" t="s">
        <v>79</v>
      </c>
      <c r="W1076" s="32">
        <v>15</v>
      </c>
      <c r="X1076" s="32" t="s">
        <v>80</v>
      </c>
      <c r="AD1076" s="1">
        <v>195018780119</v>
      </c>
      <c r="AN1076">
        <v>30</v>
      </c>
      <c r="AO1076" t="s">
        <v>81</v>
      </c>
    </row>
    <row r="1077" spans="1:41" ht="90" x14ac:dyDescent="0.25">
      <c r="A1077" s="2">
        <v>195018761651</v>
      </c>
      <c r="B1077" t="s">
        <v>71</v>
      </c>
      <c r="C1077" t="s">
        <v>72</v>
      </c>
      <c r="D1077" t="s">
        <v>3268</v>
      </c>
      <c r="E1077" t="s">
        <v>3269</v>
      </c>
      <c r="F1077">
        <v>316210</v>
      </c>
      <c r="G1077" s="35" t="s">
        <v>3221</v>
      </c>
      <c r="H1077" s="31" t="s">
        <v>3270</v>
      </c>
      <c r="J1077" t="s">
        <v>77</v>
      </c>
      <c r="M1077">
        <v>110</v>
      </c>
      <c r="P1077" t="s">
        <v>78</v>
      </c>
      <c r="Q1077" s="55">
        <v>99.999999999999986</v>
      </c>
      <c r="R1077" s="32">
        <v>55</v>
      </c>
      <c r="S1077" s="33">
        <v>0.33</v>
      </c>
      <c r="T1077" s="34">
        <f t="shared" si="33"/>
        <v>82.089552238805979</v>
      </c>
      <c r="U1077" s="34">
        <f t="shared" si="34"/>
        <v>83.115671641791053</v>
      </c>
      <c r="V1077" t="s">
        <v>79</v>
      </c>
      <c r="W1077" s="32">
        <v>15</v>
      </c>
      <c r="X1077" s="32" t="s">
        <v>80</v>
      </c>
      <c r="AD1077" s="1">
        <v>195018761651</v>
      </c>
      <c r="AN1077">
        <v>30</v>
      </c>
      <c r="AO1077" t="s">
        <v>81</v>
      </c>
    </row>
    <row r="1078" spans="1:41" ht="90" x14ac:dyDescent="0.25">
      <c r="A1078" s="2">
        <v>195018780126</v>
      </c>
      <c r="B1078" t="s">
        <v>71</v>
      </c>
      <c r="C1078" t="s">
        <v>72</v>
      </c>
      <c r="D1078" t="s">
        <v>3271</v>
      </c>
      <c r="E1078" t="s">
        <v>3272</v>
      </c>
      <c r="F1078">
        <v>316210</v>
      </c>
      <c r="G1078" s="35" t="s">
        <v>3221</v>
      </c>
      <c r="H1078" s="31" t="s">
        <v>3273</v>
      </c>
      <c r="J1078" t="s">
        <v>77</v>
      </c>
      <c r="M1078">
        <v>110</v>
      </c>
      <c r="P1078" t="s">
        <v>78</v>
      </c>
      <c r="Q1078" s="55">
        <v>99.999999999999986</v>
      </c>
      <c r="R1078" s="32">
        <v>55</v>
      </c>
      <c r="S1078" s="33">
        <v>0.33</v>
      </c>
      <c r="T1078" s="34">
        <f t="shared" si="33"/>
        <v>82.089552238805979</v>
      </c>
      <c r="U1078" s="34">
        <f t="shared" si="34"/>
        <v>83.115671641791053</v>
      </c>
      <c r="V1078" t="s">
        <v>79</v>
      </c>
      <c r="W1078" s="32">
        <v>15</v>
      </c>
      <c r="X1078" s="32" t="s">
        <v>80</v>
      </c>
      <c r="AD1078" s="1">
        <v>195018780126</v>
      </c>
      <c r="AN1078">
        <v>30</v>
      </c>
      <c r="AO1078" t="s">
        <v>81</v>
      </c>
    </row>
    <row r="1079" spans="1:41" ht="90" x14ac:dyDescent="0.25">
      <c r="A1079" s="2">
        <v>195018761668</v>
      </c>
      <c r="B1079" t="s">
        <v>71</v>
      </c>
      <c r="C1079" t="s">
        <v>72</v>
      </c>
      <c r="D1079" t="s">
        <v>3274</v>
      </c>
      <c r="E1079" t="s">
        <v>3275</v>
      </c>
      <c r="F1079">
        <v>316210</v>
      </c>
      <c r="G1079" s="35" t="s">
        <v>3221</v>
      </c>
      <c r="H1079" s="31" t="s">
        <v>3276</v>
      </c>
      <c r="J1079" t="s">
        <v>77</v>
      </c>
      <c r="M1079">
        <v>110</v>
      </c>
      <c r="P1079" t="s">
        <v>78</v>
      </c>
      <c r="Q1079" s="55">
        <v>99.999999999999986</v>
      </c>
      <c r="R1079" s="32">
        <v>55</v>
      </c>
      <c r="S1079" s="33">
        <v>0.33</v>
      </c>
      <c r="T1079" s="34">
        <f t="shared" si="33"/>
        <v>82.089552238805979</v>
      </c>
      <c r="U1079" s="34">
        <f t="shared" si="34"/>
        <v>83.115671641791053</v>
      </c>
      <c r="V1079" t="s">
        <v>79</v>
      </c>
      <c r="W1079" s="32">
        <v>15</v>
      </c>
      <c r="X1079" s="32" t="s">
        <v>80</v>
      </c>
      <c r="AD1079" s="1">
        <v>195018761668</v>
      </c>
      <c r="AN1079">
        <v>30</v>
      </c>
      <c r="AO1079" t="s">
        <v>81</v>
      </c>
    </row>
    <row r="1080" spans="1:41" ht="90" x14ac:dyDescent="0.25">
      <c r="A1080" s="2">
        <v>195018780133</v>
      </c>
      <c r="B1080" t="s">
        <v>71</v>
      </c>
      <c r="C1080" t="s">
        <v>72</v>
      </c>
      <c r="D1080" t="s">
        <v>3277</v>
      </c>
      <c r="E1080" t="s">
        <v>3278</v>
      </c>
      <c r="F1080">
        <v>316210</v>
      </c>
      <c r="G1080" s="35" t="s">
        <v>3221</v>
      </c>
      <c r="H1080" s="31" t="s">
        <v>3279</v>
      </c>
      <c r="J1080" t="s">
        <v>77</v>
      </c>
      <c r="M1080">
        <v>110</v>
      </c>
      <c r="P1080" t="s">
        <v>78</v>
      </c>
      <c r="Q1080" s="55">
        <v>99.999999999999986</v>
      </c>
      <c r="R1080" s="32">
        <v>55</v>
      </c>
      <c r="S1080" s="33">
        <v>0.33</v>
      </c>
      <c r="T1080" s="34">
        <f t="shared" si="33"/>
        <v>82.089552238805979</v>
      </c>
      <c r="U1080" s="34">
        <f t="shared" si="34"/>
        <v>83.115671641791053</v>
      </c>
      <c r="V1080" t="s">
        <v>79</v>
      </c>
      <c r="W1080" s="32">
        <v>15</v>
      </c>
      <c r="X1080" s="32" t="s">
        <v>80</v>
      </c>
      <c r="AD1080" s="1">
        <v>195018780133</v>
      </c>
      <c r="AN1080">
        <v>30</v>
      </c>
      <c r="AO1080" t="s">
        <v>81</v>
      </c>
    </row>
    <row r="1081" spans="1:41" ht="90" x14ac:dyDescent="0.25">
      <c r="A1081" s="2">
        <v>195018761675</v>
      </c>
      <c r="B1081" t="s">
        <v>71</v>
      </c>
      <c r="C1081" t="s">
        <v>72</v>
      </c>
      <c r="D1081" t="s">
        <v>3280</v>
      </c>
      <c r="E1081" t="s">
        <v>3281</v>
      </c>
      <c r="F1081">
        <v>316210</v>
      </c>
      <c r="G1081" s="35" t="s">
        <v>3221</v>
      </c>
      <c r="H1081" s="31" t="s">
        <v>3282</v>
      </c>
      <c r="J1081" t="s">
        <v>77</v>
      </c>
      <c r="M1081">
        <v>110</v>
      </c>
      <c r="P1081" t="s">
        <v>78</v>
      </c>
      <c r="Q1081" s="55">
        <v>99.999999999999986</v>
      </c>
      <c r="R1081" s="32">
        <v>55</v>
      </c>
      <c r="S1081" s="33">
        <v>0.33</v>
      </c>
      <c r="T1081" s="34">
        <f t="shared" si="33"/>
        <v>82.089552238805979</v>
      </c>
      <c r="U1081" s="34">
        <f t="shared" si="34"/>
        <v>83.115671641791053</v>
      </c>
      <c r="V1081" t="s">
        <v>79</v>
      </c>
      <c r="W1081" s="32">
        <v>15</v>
      </c>
      <c r="X1081" s="32" t="s">
        <v>80</v>
      </c>
      <c r="AD1081" s="1">
        <v>195018761675</v>
      </c>
      <c r="AN1081">
        <v>30</v>
      </c>
      <c r="AO1081" t="s">
        <v>81</v>
      </c>
    </row>
    <row r="1082" spans="1:41" ht="90" x14ac:dyDescent="0.25">
      <c r="A1082" s="2">
        <v>195018780140</v>
      </c>
      <c r="B1082" t="s">
        <v>71</v>
      </c>
      <c r="C1082" t="s">
        <v>72</v>
      </c>
      <c r="D1082" t="s">
        <v>3283</v>
      </c>
      <c r="E1082" t="s">
        <v>3284</v>
      </c>
      <c r="F1082">
        <v>316210</v>
      </c>
      <c r="G1082" s="35" t="s">
        <v>3221</v>
      </c>
      <c r="H1082" s="31" t="s">
        <v>3285</v>
      </c>
      <c r="J1082" t="s">
        <v>77</v>
      </c>
      <c r="M1082">
        <v>110</v>
      </c>
      <c r="P1082" t="s">
        <v>78</v>
      </c>
      <c r="Q1082" s="55">
        <v>99.999999999999986</v>
      </c>
      <c r="R1082" s="32">
        <v>55</v>
      </c>
      <c r="S1082" s="33">
        <v>0.33</v>
      </c>
      <c r="T1082" s="34">
        <f t="shared" si="33"/>
        <v>82.089552238805979</v>
      </c>
      <c r="U1082" s="34">
        <f t="shared" si="34"/>
        <v>83.115671641791053</v>
      </c>
      <c r="V1082" t="s">
        <v>79</v>
      </c>
      <c r="W1082" s="32">
        <v>15</v>
      </c>
      <c r="X1082" s="32" t="s">
        <v>80</v>
      </c>
      <c r="AD1082" s="1">
        <v>195018780140</v>
      </c>
      <c r="AN1082">
        <v>30</v>
      </c>
      <c r="AO1082" t="s">
        <v>81</v>
      </c>
    </row>
    <row r="1083" spans="1:41" ht="90" x14ac:dyDescent="0.25">
      <c r="A1083" s="2">
        <v>195018761699</v>
      </c>
      <c r="B1083" t="s">
        <v>71</v>
      </c>
      <c r="C1083" t="s">
        <v>72</v>
      </c>
      <c r="D1083" t="s">
        <v>3286</v>
      </c>
      <c r="E1083" t="s">
        <v>3287</v>
      </c>
      <c r="F1083">
        <v>316210</v>
      </c>
      <c r="G1083" s="35" t="s">
        <v>3221</v>
      </c>
      <c r="H1083" s="31" t="s">
        <v>3288</v>
      </c>
      <c r="J1083" t="s">
        <v>77</v>
      </c>
      <c r="M1083">
        <v>110</v>
      </c>
      <c r="P1083" t="s">
        <v>78</v>
      </c>
      <c r="Q1083" s="55">
        <v>99.999999999999986</v>
      </c>
      <c r="R1083" s="32">
        <v>55</v>
      </c>
      <c r="S1083" s="33">
        <v>0.33</v>
      </c>
      <c r="T1083" s="34">
        <f t="shared" si="33"/>
        <v>82.089552238805979</v>
      </c>
      <c r="U1083" s="34">
        <f t="shared" si="34"/>
        <v>83.115671641791053</v>
      </c>
      <c r="V1083" t="s">
        <v>79</v>
      </c>
      <c r="W1083" s="32">
        <v>15</v>
      </c>
      <c r="X1083" s="32" t="s">
        <v>80</v>
      </c>
      <c r="AD1083" s="1">
        <v>195018761699</v>
      </c>
      <c r="AN1083">
        <v>30</v>
      </c>
      <c r="AO1083" t="s">
        <v>81</v>
      </c>
    </row>
    <row r="1084" spans="1:41" ht="90" x14ac:dyDescent="0.25">
      <c r="A1084" s="2">
        <v>195018780157</v>
      </c>
      <c r="B1084" t="s">
        <v>71</v>
      </c>
      <c r="C1084" t="s">
        <v>72</v>
      </c>
      <c r="D1084" t="s">
        <v>3289</v>
      </c>
      <c r="E1084" t="s">
        <v>3290</v>
      </c>
      <c r="F1084">
        <v>316210</v>
      </c>
      <c r="G1084" s="35" t="s">
        <v>3221</v>
      </c>
      <c r="H1084" s="31" t="s">
        <v>3291</v>
      </c>
      <c r="J1084" t="s">
        <v>77</v>
      </c>
      <c r="M1084">
        <v>110</v>
      </c>
      <c r="P1084" t="s">
        <v>78</v>
      </c>
      <c r="Q1084" s="55">
        <v>99.999999999999986</v>
      </c>
      <c r="R1084" s="32">
        <v>55</v>
      </c>
      <c r="S1084" s="33">
        <v>0.33</v>
      </c>
      <c r="T1084" s="34">
        <f t="shared" si="33"/>
        <v>82.089552238805979</v>
      </c>
      <c r="U1084" s="34">
        <f t="shared" si="34"/>
        <v>83.115671641791053</v>
      </c>
      <c r="V1084" t="s">
        <v>79</v>
      </c>
      <c r="W1084" s="32">
        <v>15</v>
      </c>
      <c r="X1084" s="32" t="s">
        <v>80</v>
      </c>
      <c r="AD1084" s="1">
        <v>195018780157</v>
      </c>
      <c r="AN1084">
        <v>30</v>
      </c>
      <c r="AO1084" t="s">
        <v>81</v>
      </c>
    </row>
    <row r="1085" spans="1:41" ht="90" x14ac:dyDescent="0.25">
      <c r="A1085" s="2">
        <v>98681653684</v>
      </c>
      <c r="B1085" t="s">
        <v>71</v>
      </c>
      <c r="C1085" t="s">
        <v>72</v>
      </c>
      <c r="D1085" t="s">
        <v>3292</v>
      </c>
      <c r="E1085" t="s">
        <v>3293</v>
      </c>
      <c r="F1085">
        <v>316210</v>
      </c>
      <c r="G1085" s="35" t="s">
        <v>3294</v>
      </c>
      <c r="H1085" s="31" t="s">
        <v>3295</v>
      </c>
      <c r="J1085" t="s">
        <v>77</v>
      </c>
      <c r="M1085">
        <v>100</v>
      </c>
      <c r="P1085" t="s">
        <v>78</v>
      </c>
      <c r="Q1085" s="55">
        <v>87.272727272727266</v>
      </c>
      <c r="R1085" s="32">
        <v>48</v>
      </c>
      <c r="S1085" s="33">
        <v>0.33</v>
      </c>
      <c r="T1085" s="34">
        <f t="shared" ref="T1085:T1123" si="35">R1085/(1-S1085)</f>
        <v>71.641791044776127</v>
      </c>
      <c r="U1085" s="34">
        <f t="shared" ref="U1085:U1123" si="36">T1085*(1+1.25%)</f>
        <v>72.53731343283583</v>
      </c>
      <c r="V1085" t="s">
        <v>79</v>
      </c>
      <c r="W1085" s="32">
        <v>15</v>
      </c>
      <c r="X1085" s="32" t="s">
        <v>80</v>
      </c>
      <c r="AD1085" s="1">
        <v>98681653684</v>
      </c>
      <c r="AN1085">
        <v>30</v>
      </c>
      <c r="AO1085" t="s">
        <v>81</v>
      </c>
    </row>
    <row r="1086" spans="1:41" ht="90" x14ac:dyDescent="0.25">
      <c r="A1086" s="2">
        <v>98681653950</v>
      </c>
      <c r="B1086" t="s">
        <v>71</v>
      </c>
      <c r="C1086" t="s">
        <v>72</v>
      </c>
      <c r="D1086" t="s">
        <v>3296</v>
      </c>
      <c r="E1086" t="s">
        <v>3297</v>
      </c>
      <c r="F1086">
        <v>316210</v>
      </c>
      <c r="G1086" s="35" t="s">
        <v>3294</v>
      </c>
      <c r="H1086" s="31" t="s">
        <v>3298</v>
      </c>
      <c r="J1086" t="s">
        <v>77</v>
      </c>
      <c r="M1086">
        <v>100</v>
      </c>
      <c r="P1086" t="s">
        <v>78</v>
      </c>
      <c r="Q1086" s="55">
        <v>87.272727272727266</v>
      </c>
      <c r="R1086" s="32">
        <v>48</v>
      </c>
      <c r="S1086" s="33">
        <v>0.33</v>
      </c>
      <c r="T1086" s="34">
        <f t="shared" si="35"/>
        <v>71.641791044776127</v>
      </c>
      <c r="U1086" s="34">
        <f t="shared" si="36"/>
        <v>72.53731343283583</v>
      </c>
      <c r="V1086" t="s">
        <v>79</v>
      </c>
      <c r="W1086" s="32">
        <v>15</v>
      </c>
      <c r="X1086" s="32" t="s">
        <v>80</v>
      </c>
      <c r="AD1086" s="1">
        <v>98681653950</v>
      </c>
      <c r="AN1086">
        <v>30</v>
      </c>
      <c r="AO1086" t="s">
        <v>81</v>
      </c>
    </row>
    <row r="1087" spans="1:41" ht="90" x14ac:dyDescent="0.25">
      <c r="A1087" s="2">
        <v>98681653691</v>
      </c>
      <c r="B1087" t="s">
        <v>71</v>
      </c>
      <c r="C1087" t="s">
        <v>72</v>
      </c>
      <c r="D1087" t="s">
        <v>3299</v>
      </c>
      <c r="E1087" t="s">
        <v>3300</v>
      </c>
      <c r="F1087">
        <v>316210</v>
      </c>
      <c r="G1087" s="35" t="s">
        <v>3294</v>
      </c>
      <c r="H1087" s="31" t="s">
        <v>3301</v>
      </c>
      <c r="J1087" t="s">
        <v>77</v>
      </c>
      <c r="M1087">
        <v>100</v>
      </c>
      <c r="P1087" t="s">
        <v>78</v>
      </c>
      <c r="Q1087" s="55">
        <v>87.272727272727266</v>
      </c>
      <c r="R1087" s="32">
        <v>48</v>
      </c>
      <c r="S1087" s="33">
        <v>0.33</v>
      </c>
      <c r="T1087" s="34">
        <f t="shared" si="35"/>
        <v>71.641791044776127</v>
      </c>
      <c r="U1087" s="34">
        <f t="shared" si="36"/>
        <v>72.53731343283583</v>
      </c>
      <c r="V1087" t="s">
        <v>79</v>
      </c>
      <c r="W1087" s="32">
        <v>15</v>
      </c>
      <c r="X1087" s="32" t="s">
        <v>80</v>
      </c>
      <c r="AD1087" s="1">
        <v>98681653691</v>
      </c>
      <c r="AN1087">
        <v>30</v>
      </c>
      <c r="AO1087" t="s">
        <v>81</v>
      </c>
    </row>
    <row r="1088" spans="1:41" ht="90" x14ac:dyDescent="0.25">
      <c r="A1088" s="2">
        <v>98681653967</v>
      </c>
      <c r="B1088" t="s">
        <v>71</v>
      </c>
      <c r="C1088" t="s">
        <v>72</v>
      </c>
      <c r="D1088" t="s">
        <v>3302</v>
      </c>
      <c r="E1088" t="s">
        <v>3303</v>
      </c>
      <c r="F1088">
        <v>316210</v>
      </c>
      <c r="G1088" s="35" t="s">
        <v>3294</v>
      </c>
      <c r="H1088" s="31" t="s">
        <v>3304</v>
      </c>
      <c r="J1088" t="s">
        <v>77</v>
      </c>
      <c r="M1088">
        <v>100</v>
      </c>
      <c r="P1088" t="s">
        <v>78</v>
      </c>
      <c r="Q1088" s="55">
        <v>87.272727272727266</v>
      </c>
      <c r="R1088" s="32">
        <v>48</v>
      </c>
      <c r="S1088" s="33">
        <v>0.33</v>
      </c>
      <c r="T1088" s="34">
        <f t="shared" si="35"/>
        <v>71.641791044776127</v>
      </c>
      <c r="U1088" s="34">
        <f t="shared" si="36"/>
        <v>72.53731343283583</v>
      </c>
      <c r="V1088" t="s">
        <v>79</v>
      </c>
      <c r="W1088" s="32">
        <v>15</v>
      </c>
      <c r="X1088" s="32" t="s">
        <v>80</v>
      </c>
      <c r="AD1088" s="1">
        <v>98681653967</v>
      </c>
      <c r="AN1088">
        <v>30</v>
      </c>
      <c r="AO1088" t="s">
        <v>81</v>
      </c>
    </row>
    <row r="1089" spans="1:41" ht="90" x14ac:dyDescent="0.25">
      <c r="A1089" s="2">
        <v>98681653707</v>
      </c>
      <c r="B1089" t="s">
        <v>71</v>
      </c>
      <c r="C1089" t="s">
        <v>72</v>
      </c>
      <c r="D1089" t="s">
        <v>3305</v>
      </c>
      <c r="E1089" t="s">
        <v>3306</v>
      </c>
      <c r="F1089">
        <v>316210</v>
      </c>
      <c r="G1089" s="35" t="s">
        <v>3294</v>
      </c>
      <c r="H1089" s="31" t="s">
        <v>3307</v>
      </c>
      <c r="J1089" t="s">
        <v>77</v>
      </c>
      <c r="M1089">
        <v>100</v>
      </c>
      <c r="P1089" t="s">
        <v>78</v>
      </c>
      <c r="Q1089" s="55">
        <v>87.272727272727266</v>
      </c>
      <c r="R1089" s="32">
        <v>48</v>
      </c>
      <c r="S1089" s="33">
        <v>0.33</v>
      </c>
      <c r="T1089" s="34">
        <f t="shared" si="35"/>
        <v>71.641791044776127</v>
      </c>
      <c r="U1089" s="34">
        <f t="shared" si="36"/>
        <v>72.53731343283583</v>
      </c>
      <c r="V1089" t="s">
        <v>79</v>
      </c>
      <c r="W1089" s="32">
        <v>15</v>
      </c>
      <c r="X1089" s="32" t="s">
        <v>80</v>
      </c>
      <c r="AD1089" s="1">
        <v>98681653707</v>
      </c>
      <c r="AN1089">
        <v>30</v>
      </c>
      <c r="AO1089" t="s">
        <v>81</v>
      </c>
    </row>
    <row r="1090" spans="1:41" ht="90" x14ac:dyDescent="0.25">
      <c r="A1090" s="2">
        <v>98681653974</v>
      </c>
      <c r="B1090" t="s">
        <v>71</v>
      </c>
      <c r="C1090" t="s">
        <v>72</v>
      </c>
      <c r="D1090" t="s">
        <v>3308</v>
      </c>
      <c r="E1090" t="s">
        <v>3309</v>
      </c>
      <c r="F1090">
        <v>316210</v>
      </c>
      <c r="G1090" s="35" t="s">
        <v>3294</v>
      </c>
      <c r="H1090" s="31" t="s">
        <v>3310</v>
      </c>
      <c r="J1090" t="s">
        <v>77</v>
      </c>
      <c r="M1090">
        <v>100</v>
      </c>
      <c r="P1090" t="s">
        <v>78</v>
      </c>
      <c r="Q1090" s="55">
        <v>87.272727272727266</v>
      </c>
      <c r="R1090" s="32">
        <v>48</v>
      </c>
      <c r="S1090" s="33">
        <v>0.33</v>
      </c>
      <c r="T1090" s="34">
        <f t="shared" si="35"/>
        <v>71.641791044776127</v>
      </c>
      <c r="U1090" s="34">
        <f t="shared" si="36"/>
        <v>72.53731343283583</v>
      </c>
      <c r="V1090" t="s">
        <v>79</v>
      </c>
      <c r="W1090" s="32">
        <v>15</v>
      </c>
      <c r="X1090" s="32" t="s">
        <v>80</v>
      </c>
      <c r="AD1090" s="1">
        <v>98681653974</v>
      </c>
      <c r="AN1090">
        <v>30</v>
      </c>
      <c r="AO1090" t="s">
        <v>81</v>
      </c>
    </row>
    <row r="1091" spans="1:41" ht="90" x14ac:dyDescent="0.25">
      <c r="A1091" s="2">
        <v>98681653714</v>
      </c>
      <c r="B1091" t="s">
        <v>71</v>
      </c>
      <c r="C1091" t="s">
        <v>72</v>
      </c>
      <c r="D1091" t="s">
        <v>3311</v>
      </c>
      <c r="E1091" t="s">
        <v>3312</v>
      </c>
      <c r="F1091">
        <v>316210</v>
      </c>
      <c r="G1091" s="35" t="s">
        <v>3294</v>
      </c>
      <c r="H1091" s="31" t="s">
        <v>3313</v>
      </c>
      <c r="J1091" t="s">
        <v>77</v>
      </c>
      <c r="M1091">
        <v>100</v>
      </c>
      <c r="P1091" t="s">
        <v>78</v>
      </c>
      <c r="Q1091" s="55">
        <v>87.272727272727266</v>
      </c>
      <c r="R1091" s="32">
        <v>48</v>
      </c>
      <c r="S1091" s="33">
        <v>0.33</v>
      </c>
      <c r="T1091" s="34">
        <f t="shared" si="35"/>
        <v>71.641791044776127</v>
      </c>
      <c r="U1091" s="34">
        <f t="shared" si="36"/>
        <v>72.53731343283583</v>
      </c>
      <c r="V1091" t="s">
        <v>79</v>
      </c>
      <c r="W1091" s="32">
        <v>15</v>
      </c>
      <c r="X1091" s="32" t="s">
        <v>80</v>
      </c>
      <c r="AD1091" s="1">
        <v>98681653714</v>
      </c>
      <c r="AN1091">
        <v>30</v>
      </c>
      <c r="AO1091" t="s">
        <v>81</v>
      </c>
    </row>
    <row r="1092" spans="1:41" ht="90" x14ac:dyDescent="0.25">
      <c r="A1092" s="2">
        <v>98681653981</v>
      </c>
      <c r="B1092" t="s">
        <v>71</v>
      </c>
      <c r="C1092" t="s">
        <v>72</v>
      </c>
      <c r="D1092" t="s">
        <v>3314</v>
      </c>
      <c r="E1092" t="s">
        <v>3315</v>
      </c>
      <c r="F1092">
        <v>316210</v>
      </c>
      <c r="G1092" s="35" t="s">
        <v>3294</v>
      </c>
      <c r="H1092" s="31" t="s">
        <v>3316</v>
      </c>
      <c r="J1092" t="s">
        <v>77</v>
      </c>
      <c r="M1092">
        <v>100</v>
      </c>
      <c r="P1092" t="s">
        <v>78</v>
      </c>
      <c r="Q1092" s="55">
        <v>87.272727272727266</v>
      </c>
      <c r="R1092" s="32">
        <v>48</v>
      </c>
      <c r="S1092" s="33">
        <v>0.33</v>
      </c>
      <c r="T1092" s="34">
        <f t="shared" si="35"/>
        <v>71.641791044776127</v>
      </c>
      <c r="U1092" s="34">
        <f t="shared" si="36"/>
        <v>72.53731343283583</v>
      </c>
      <c r="V1092" t="s">
        <v>79</v>
      </c>
      <c r="W1092" s="32">
        <v>15</v>
      </c>
      <c r="X1092" s="32" t="s">
        <v>80</v>
      </c>
      <c r="AD1092" s="1">
        <v>98681653981</v>
      </c>
      <c r="AN1092">
        <v>30</v>
      </c>
      <c r="AO1092" t="s">
        <v>81</v>
      </c>
    </row>
    <row r="1093" spans="1:41" ht="90" x14ac:dyDescent="0.25">
      <c r="A1093" s="2">
        <v>98681653721</v>
      </c>
      <c r="B1093" t="s">
        <v>71</v>
      </c>
      <c r="C1093" t="s">
        <v>72</v>
      </c>
      <c r="D1093" t="s">
        <v>3317</v>
      </c>
      <c r="E1093" t="s">
        <v>3318</v>
      </c>
      <c r="F1093">
        <v>316210</v>
      </c>
      <c r="G1093" s="35" t="s">
        <v>3294</v>
      </c>
      <c r="H1093" s="31" t="s">
        <v>3319</v>
      </c>
      <c r="J1093" t="s">
        <v>77</v>
      </c>
      <c r="M1093">
        <v>100</v>
      </c>
      <c r="P1093" t="s">
        <v>78</v>
      </c>
      <c r="Q1093" s="55">
        <v>87.272727272727266</v>
      </c>
      <c r="R1093" s="32">
        <v>48</v>
      </c>
      <c r="S1093" s="33">
        <v>0.33</v>
      </c>
      <c r="T1093" s="34">
        <f t="shared" si="35"/>
        <v>71.641791044776127</v>
      </c>
      <c r="U1093" s="34">
        <f t="shared" si="36"/>
        <v>72.53731343283583</v>
      </c>
      <c r="V1093" t="s">
        <v>79</v>
      </c>
      <c r="W1093" s="32">
        <v>15</v>
      </c>
      <c r="X1093" s="32" t="s">
        <v>80</v>
      </c>
      <c r="AD1093" s="1">
        <v>98681653721</v>
      </c>
      <c r="AN1093">
        <v>30</v>
      </c>
      <c r="AO1093" t="s">
        <v>81</v>
      </c>
    </row>
    <row r="1094" spans="1:41" ht="90" x14ac:dyDescent="0.25">
      <c r="A1094" s="2">
        <v>98681653998</v>
      </c>
      <c r="B1094" t="s">
        <v>71</v>
      </c>
      <c r="C1094" t="s">
        <v>72</v>
      </c>
      <c r="D1094" t="s">
        <v>3320</v>
      </c>
      <c r="E1094" t="s">
        <v>3321</v>
      </c>
      <c r="F1094">
        <v>316210</v>
      </c>
      <c r="G1094" s="35" t="s">
        <v>3294</v>
      </c>
      <c r="H1094" s="31" t="s">
        <v>3322</v>
      </c>
      <c r="J1094" t="s">
        <v>77</v>
      </c>
      <c r="M1094">
        <v>100</v>
      </c>
      <c r="P1094" t="s">
        <v>78</v>
      </c>
      <c r="Q1094" s="55">
        <v>87.272727272727266</v>
      </c>
      <c r="R1094" s="32">
        <v>48</v>
      </c>
      <c r="S1094" s="33">
        <v>0.33</v>
      </c>
      <c r="T1094" s="34">
        <f t="shared" si="35"/>
        <v>71.641791044776127</v>
      </c>
      <c r="U1094" s="34">
        <f t="shared" si="36"/>
        <v>72.53731343283583</v>
      </c>
      <c r="V1094" t="s">
        <v>79</v>
      </c>
      <c r="W1094" s="32">
        <v>15</v>
      </c>
      <c r="X1094" s="32" t="s">
        <v>80</v>
      </c>
      <c r="AD1094" s="1">
        <v>98681653998</v>
      </c>
      <c r="AN1094">
        <v>30</v>
      </c>
      <c r="AO1094" t="s">
        <v>81</v>
      </c>
    </row>
    <row r="1095" spans="1:41" ht="90" x14ac:dyDescent="0.25">
      <c r="A1095" s="2">
        <v>98681653738</v>
      </c>
      <c r="B1095" t="s">
        <v>71</v>
      </c>
      <c r="C1095" t="s">
        <v>72</v>
      </c>
      <c r="D1095" t="s">
        <v>3323</v>
      </c>
      <c r="E1095" t="s">
        <v>3324</v>
      </c>
      <c r="F1095">
        <v>316210</v>
      </c>
      <c r="G1095" s="35" t="s">
        <v>3294</v>
      </c>
      <c r="H1095" s="31" t="s">
        <v>3325</v>
      </c>
      <c r="J1095" t="s">
        <v>77</v>
      </c>
      <c r="M1095">
        <v>100</v>
      </c>
      <c r="P1095" t="s">
        <v>78</v>
      </c>
      <c r="Q1095" s="55">
        <v>87.272727272727266</v>
      </c>
      <c r="R1095" s="32">
        <v>48</v>
      </c>
      <c r="S1095" s="33">
        <v>0.33</v>
      </c>
      <c r="T1095" s="34">
        <f t="shared" si="35"/>
        <v>71.641791044776127</v>
      </c>
      <c r="U1095" s="34">
        <f t="shared" si="36"/>
        <v>72.53731343283583</v>
      </c>
      <c r="V1095" t="s">
        <v>79</v>
      </c>
      <c r="W1095" s="32">
        <v>15</v>
      </c>
      <c r="X1095" s="32" t="s">
        <v>80</v>
      </c>
      <c r="AD1095" s="1">
        <v>98681653738</v>
      </c>
      <c r="AN1095">
        <v>30</v>
      </c>
      <c r="AO1095" t="s">
        <v>81</v>
      </c>
    </row>
    <row r="1096" spans="1:41" ht="90" x14ac:dyDescent="0.25">
      <c r="A1096" s="2">
        <v>98681654001</v>
      </c>
      <c r="B1096" t="s">
        <v>71</v>
      </c>
      <c r="C1096" t="s">
        <v>72</v>
      </c>
      <c r="D1096" t="s">
        <v>3326</v>
      </c>
      <c r="E1096" t="s">
        <v>3327</v>
      </c>
      <c r="F1096">
        <v>316210</v>
      </c>
      <c r="G1096" s="35" t="s">
        <v>3294</v>
      </c>
      <c r="H1096" s="31" t="s">
        <v>3328</v>
      </c>
      <c r="J1096" t="s">
        <v>77</v>
      </c>
      <c r="M1096">
        <v>100</v>
      </c>
      <c r="P1096" t="s">
        <v>78</v>
      </c>
      <c r="Q1096" s="55">
        <v>87.272727272727266</v>
      </c>
      <c r="R1096" s="32">
        <v>48</v>
      </c>
      <c r="S1096" s="33">
        <v>0.33</v>
      </c>
      <c r="T1096" s="34">
        <f t="shared" si="35"/>
        <v>71.641791044776127</v>
      </c>
      <c r="U1096" s="34">
        <f t="shared" si="36"/>
        <v>72.53731343283583</v>
      </c>
      <c r="V1096" t="s">
        <v>79</v>
      </c>
      <c r="W1096" s="32">
        <v>15</v>
      </c>
      <c r="X1096" s="32" t="s">
        <v>80</v>
      </c>
      <c r="AD1096" s="1">
        <v>98681654001</v>
      </c>
      <c r="AN1096">
        <v>30</v>
      </c>
      <c r="AO1096" t="s">
        <v>81</v>
      </c>
    </row>
    <row r="1097" spans="1:41" ht="90" x14ac:dyDescent="0.25">
      <c r="A1097" s="2">
        <v>98681653745</v>
      </c>
      <c r="B1097" t="s">
        <v>71</v>
      </c>
      <c r="C1097" t="s">
        <v>72</v>
      </c>
      <c r="D1097" t="s">
        <v>3329</v>
      </c>
      <c r="E1097" t="s">
        <v>3330</v>
      </c>
      <c r="F1097">
        <v>316210</v>
      </c>
      <c r="G1097" s="35" t="s">
        <v>3294</v>
      </c>
      <c r="H1097" s="31" t="s">
        <v>3331</v>
      </c>
      <c r="J1097" t="s">
        <v>77</v>
      </c>
      <c r="M1097">
        <v>100</v>
      </c>
      <c r="P1097" t="s">
        <v>78</v>
      </c>
      <c r="Q1097" s="55">
        <v>87.272727272727266</v>
      </c>
      <c r="R1097" s="32">
        <v>48</v>
      </c>
      <c r="S1097" s="33">
        <v>0.33</v>
      </c>
      <c r="T1097" s="34">
        <f t="shared" si="35"/>
        <v>71.641791044776127</v>
      </c>
      <c r="U1097" s="34">
        <f t="shared" si="36"/>
        <v>72.53731343283583</v>
      </c>
      <c r="V1097" t="s">
        <v>79</v>
      </c>
      <c r="W1097" s="32">
        <v>15</v>
      </c>
      <c r="X1097" s="32" t="s">
        <v>80</v>
      </c>
      <c r="AD1097" s="1">
        <v>98681653745</v>
      </c>
      <c r="AN1097">
        <v>30</v>
      </c>
      <c r="AO1097" t="s">
        <v>81</v>
      </c>
    </row>
    <row r="1098" spans="1:41" ht="90" x14ac:dyDescent="0.25">
      <c r="A1098" s="2">
        <v>98681654018</v>
      </c>
      <c r="B1098" t="s">
        <v>71</v>
      </c>
      <c r="C1098" t="s">
        <v>72</v>
      </c>
      <c r="D1098" t="s">
        <v>3332</v>
      </c>
      <c r="E1098" t="s">
        <v>3333</v>
      </c>
      <c r="F1098">
        <v>316210</v>
      </c>
      <c r="G1098" s="35" t="s">
        <v>3294</v>
      </c>
      <c r="H1098" s="31" t="s">
        <v>3334</v>
      </c>
      <c r="J1098" t="s">
        <v>77</v>
      </c>
      <c r="M1098">
        <v>100</v>
      </c>
      <c r="P1098" t="s">
        <v>78</v>
      </c>
      <c r="Q1098" s="55">
        <v>87.272727272727266</v>
      </c>
      <c r="R1098" s="32">
        <v>48</v>
      </c>
      <c r="S1098" s="33">
        <v>0.33</v>
      </c>
      <c r="T1098" s="34">
        <f t="shared" si="35"/>
        <v>71.641791044776127</v>
      </c>
      <c r="U1098" s="34">
        <f t="shared" si="36"/>
        <v>72.53731343283583</v>
      </c>
      <c r="V1098" t="s">
        <v>79</v>
      </c>
      <c r="W1098" s="32">
        <v>15</v>
      </c>
      <c r="X1098" s="32" t="s">
        <v>80</v>
      </c>
      <c r="AD1098" s="1">
        <v>98681654018</v>
      </c>
      <c r="AN1098">
        <v>30</v>
      </c>
      <c r="AO1098" t="s">
        <v>81</v>
      </c>
    </row>
    <row r="1099" spans="1:41" ht="90" x14ac:dyDescent="0.25">
      <c r="A1099" s="2">
        <v>98681653752</v>
      </c>
      <c r="B1099" t="s">
        <v>71</v>
      </c>
      <c r="C1099" t="s">
        <v>72</v>
      </c>
      <c r="D1099" t="s">
        <v>3335</v>
      </c>
      <c r="E1099" t="s">
        <v>3336</v>
      </c>
      <c r="F1099">
        <v>316210</v>
      </c>
      <c r="G1099" s="35" t="s">
        <v>3294</v>
      </c>
      <c r="H1099" s="31" t="s">
        <v>3337</v>
      </c>
      <c r="J1099" t="s">
        <v>77</v>
      </c>
      <c r="M1099">
        <v>100</v>
      </c>
      <c r="P1099" t="s">
        <v>78</v>
      </c>
      <c r="Q1099" s="55">
        <v>87.272727272727266</v>
      </c>
      <c r="R1099" s="32">
        <v>48</v>
      </c>
      <c r="S1099" s="33">
        <v>0.33</v>
      </c>
      <c r="T1099" s="34">
        <f t="shared" si="35"/>
        <v>71.641791044776127</v>
      </c>
      <c r="U1099" s="34">
        <f t="shared" si="36"/>
        <v>72.53731343283583</v>
      </c>
      <c r="V1099" t="s">
        <v>79</v>
      </c>
      <c r="W1099" s="32">
        <v>15</v>
      </c>
      <c r="X1099" s="32" t="s">
        <v>80</v>
      </c>
      <c r="AD1099" s="1">
        <v>98681653752</v>
      </c>
      <c r="AN1099">
        <v>30</v>
      </c>
      <c r="AO1099" t="s">
        <v>81</v>
      </c>
    </row>
    <row r="1100" spans="1:41" ht="90" x14ac:dyDescent="0.25">
      <c r="A1100" s="2">
        <v>98681654025</v>
      </c>
      <c r="B1100" t="s">
        <v>71</v>
      </c>
      <c r="C1100" t="s">
        <v>72</v>
      </c>
      <c r="D1100" t="s">
        <v>3338</v>
      </c>
      <c r="E1100" t="s">
        <v>3339</v>
      </c>
      <c r="F1100">
        <v>316210</v>
      </c>
      <c r="G1100" s="35" t="s">
        <v>3294</v>
      </c>
      <c r="H1100" s="31" t="s">
        <v>3340</v>
      </c>
      <c r="J1100" t="s">
        <v>77</v>
      </c>
      <c r="M1100">
        <v>100</v>
      </c>
      <c r="P1100" t="s">
        <v>78</v>
      </c>
      <c r="Q1100" s="55">
        <v>87.272727272727266</v>
      </c>
      <c r="R1100" s="32">
        <v>48</v>
      </c>
      <c r="S1100" s="33">
        <v>0.33</v>
      </c>
      <c r="T1100" s="34">
        <f t="shared" si="35"/>
        <v>71.641791044776127</v>
      </c>
      <c r="U1100" s="34">
        <f t="shared" si="36"/>
        <v>72.53731343283583</v>
      </c>
      <c r="V1100" t="s">
        <v>79</v>
      </c>
      <c r="W1100" s="32">
        <v>15</v>
      </c>
      <c r="X1100" s="32" t="s">
        <v>80</v>
      </c>
      <c r="AD1100" s="1">
        <v>98681654025</v>
      </c>
      <c r="AN1100">
        <v>30</v>
      </c>
      <c r="AO1100" t="s">
        <v>81</v>
      </c>
    </row>
    <row r="1101" spans="1:41" ht="90" x14ac:dyDescent="0.25">
      <c r="A1101" s="2">
        <v>98681653769</v>
      </c>
      <c r="B1101" t="s">
        <v>71</v>
      </c>
      <c r="C1101" t="s">
        <v>72</v>
      </c>
      <c r="D1101" t="s">
        <v>3341</v>
      </c>
      <c r="E1101" t="s">
        <v>3342</v>
      </c>
      <c r="F1101">
        <v>316210</v>
      </c>
      <c r="G1101" s="35" t="s">
        <v>3294</v>
      </c>
      <c r="H1101" s="31" t="s">
        <v>3343</v>
      </c>
      <c r="J1101" t="s">
        <v>77</v>
      </c>
      <c r="M1101">
        <v>100</v>
      </c>
      <c r="P1101" t="s">
        <v>78</v>
      </c>
      <c r="Q1101" s="55">
        <v>87.272727272727266</v>
      </c>
      <c r="R1101" s="32">
        <v>48</v>
      </c>
      <c r="S1101" s="33">
        <v>0.33</v>
      </c>
      <c r="T1101" s="34">
        <f t="shared" si="35"/>
        <v>71.641791044776127</v>
      </c>
      <c r="U1101" s="34">
        <f t="shared" si="36"/>
        <v>72.53731343283583</v>
      </c>
      <c r="V1101" t="s">
        <v>79</v>
      </c>
      <c r="W1101" s="32">
        <v>15</v>
      </c>
      <c r="X1101" s="32" t="s">
        <v>80</v>
      </c>
      <c r="AD1101" s="1">
        <v>98681653769</v>
      </c>
      <c r="AN1101">
        <v>30</v>
      </c>
      <c r="AO1101" t="s">
        <v>81</v>
      </c>
    </row>
    <row r="1102" spans="1:41" ht="90" x14ac:dyDescent="0.25">
      <c r="A1102" s="2">
        <v>98681654032</v>
      </c>
      <c r="B1102" t="s">
        <v>71</v>
      </c>
      <c r="C1102" t="s">
        <v>72</v>
      </c>
      <c r="D1102" t="s">
        <v>3344</v>
      </c>
      <c r="E1102" t="s">
        <v>3345</v>
      </c>
      <c r="F1102">
        <v>316210</v>
      </c>
      <c r="G1102" s="35" t="s">
        <v>3294</v>
      </c>
      <c r="H1102" s="31" t="s">
        <v>3346</v>
      </c>
      <c r="J1102" t="s">
        <v>77</v>
      </c>
      <c r="M1102">
        <v>100</v>
      </c>
      <c r="P1102" t="s">
        <v>78</v>
      </c>
      <c r="Q1102" s="55">
        <v>87.272727272727266</v>
      </c>
      <c r="R1102" s="32">
        <v>48</v>
      </c>
      <c r="S1102" s="33">
        <v>0.33</v>
      </c>
      <c r="T1102" s="34">
        <f t="shared" si="35"/>
        <v>71.641791044776127</v>
      </c>
      <c r="U1102" s="34">
        <f t="shared" si="36"/>
        <v>72.53731343283583</v>
      </c>
      <c r="V1102" t="s">
        <v>79</v>
      </c>
      <c r="W1102" s="32">
        <v>15</v>
      </c>
      <c r="X1102" s="32" t="s">
        <v>80</v>
      </c>
      <c r="AD1102" s="1">
        <v>98681654032</v>
      </c>
      <c r="AN1102">
        <v>30</v>
      </c>
      <c r="AO1102" t="s">
        <v>81</v>
      </c>
    </row>
    <row r="1103" spans="1:41" ht="90" x14ac:dyDescent="0.25">
      <c r="A1103" s="2">
        <v>98681653776</v>
      </c>
      <c r="B1103" t="s">
        <v>71</v>
      </c>
      <c r="C1103" t="s">
        <v>72</v>
      </c>
      <c r="D1103" t="s">
        <v>3347</v>
      </c>
      <c r="E1103" t="s">
        <v>3348</v>
      </c>
      <c r="F1103">
        <v>316210</v>
      </c>
      <c r="G1103" s="35" t="s">
        <v>3294</v>
      </c>
      <c r="H1103" s="31" t="s">
        <v>3349</v>
      </c>
      <c r="J1103" t="s">
        <v>77</v>
      </c>
      <c r="M1103">
        <v>100</v>
      </c>
      <c r="P1103" t="s">
        <v>78</v>
      </c>
      <c r="Q1103" s="55">
        <v>87.272727272727266</v>
      </c>
      <c r="R1103" s="32">
        <v>48</v>
      </c>
      <c r="S1103" s="33">
        <v>0.33</v>
      </c>
      <c r="T1103" s="34">
        <f t="shared" si="35"/>
        <v>71.641791044776127</v>
      </c>
      <c r="U1103" s="34">
        <f t="shared" si="36"/>
        <v>72.53731343283583</v>
      </c>
      <c r="V1103" t="s">
        <v>79</v>
      </c>
      <c r="W1103" s="32">
        <v>15</v>
      </c>
      <c r="X1103" s="32" t="s">
        <v>80</v>
      </c>
      <c r="AD1103" s="1">
        <v>98681653776</v>
      </c>
      <c r="AN1103">
        <v>30</v>
      </c>
      <c r="AO1103" t="s">
        <v>81</v>
      </c>
    </row>
    <row r="1104" spans="1:41" ht="90" x14ac:dyDescent="0.25">
      <c r="A1104" s="2">
        <v>98681654049</v>
      </c>
      <c r="B1104" t="s">
        <v>71</v>
      </c>
      <c r="C1104" t="s">
        <v>72</v>
      </c>
      <c r="D1104" t="s">
        <v>3350</v>
      </c>
      <c r="E1104" t="s">
        <v>3351</v>
      </c>
      <c r="F1104">
        <v>316210</v>
      </c>
      <c r="G1104" s="35" t="s">
        <v>3294</v>
      </c>
      <c r="H1104" s="31" t="s">
        <v>3352</v>
      </c>
      <c r="J1104" t="s">
        <v>77</v>
      </c>
      <c r="M1104">
        <v>100</v>
      </c>
      <c r="P1104" t="s">
        <v>78</v>
      </c>
      <c r="Q1104" s="55">
        <v>87.272727272727266</v>
      </c>
      <c r="R1104" s="32">
        <v>48</v>
      </c>
      <c r="S1104" s="33">
        <v>0.33</v>
      </c>
      <c r="T1104" s="34">
        <f t="shared" si="35"/>
        <v>71.641791044776127</v>
      </c>
      <c r="U1104" s="34">
        <f t="shared" si="36"/>
        <v>72.53731343283583</v>
      </c>
      <c r="V1104" t="s">
        <v>79</v>
      </c>
      <c r="W1104" s="32">
        <v>15</v>
      </c>
      <c r="X1104" s="32" t="s">
        <v>80</v>
      </c>
      <c r="AD1104" s="1">
        <v>98681654049</v>
      </c>
      <c r="AN1104">
        <v>30</v>
      </c>
      <c r="AO1104" t="s">
        <v>81</v>
      </c>
    </row>
    <row r="1105" spans="1:41" ht="90" x14ac:dyDescent="0.25">
      <c r="A1105" s="2">
        <v>98681653783</v>
      </c>
      <c r="B1105" t="s">
        <v>71</v>
      </c>
      <c r="C1105" t="s">
        <v>72</v>
      </c>
      <c r="D1105" t="s">
        <v>3353</v>
      </c>
      <c r="E1105" t="s">
        <v>3354</v>
      </c>
      <c r="F1105">
        <v>316210</v>
      </c>
      <c r="G1105" s="35" t="s">
        <v>3294</v>
      </c>
      <c r="H1105" s="31" t="s">
        <v>3355</v>
      </c>
      <c r="J1105" t="s">
        <v>77</v>
      </c>
      <c r="M1105">
        <v>100</v>
      </c>
      <c r="P1105" t="s">
        <v>78</v>
      </c>
      <c r="Q1105" s="55">
        <v>87.272727272727266</v>
      </c>
      <c r="R1105" s="32">
        <v>48</v>
      </c>
      <c r="S1105" s="33">
        <v>0.33</v>
      </c>
      <c r="T1105" s="34">
        <f t="shared" si="35"/>
        <v>71.641791044776127</v>
      </c>
      <c r="U1105" s="34">
        <f t="shared" si="36"/>
        <v>72.53731343283583</v>
      </c>
      <c r="V1105" t="s">
        <v>79</v>
      </c>
      <c r="W1105" s="32">
        <v>15</v>
      </c>
      <c r="X1105" s="32" t="s">
        <v>80</v>
      </c>
      <c r="AD1105" s="1">
        <v>98681653783</v>
      </c>
      <c r="AN1105">
        <v>30</v>
      </c>
      <c r="AO1105" t="s">
        <v>81</v>
      </c>
    </row>
    <row r="1106" spans="1:41" ht="90" x14ac:dyDescent="0.25">
      <c r="A1106" s="2">
        <v>98681654056</v>
      </c>
      <c r="B1106" t="s">
        <v>71</v>
      </c>
      <c r="C1106" t="s">
        <v>72</v>
      </c>
      <c r="D1106" t="s">
        <v>3356</v>
      </c>
      <c r="E1106" t="s">
        <v>3357</v>
      </c>
      <c r="F1106">
        <v>316210</v>
      </c>
      <c r="G1106" s="35" t="s">
        <v>3294</v>
      </c>
      <c r="H1106" s="31" t="s">
        <v>3358</v>
      </c>
      <c r="J1106" t="s">
        <v>77</v>
      </c>
      <c r="M1106">
        <v>100</v>
      </c>
      <c r="P1106" t="s">
        <v>78</v>
      </c>
      <c r="Q1106" s="55">
        <v>87.272727272727266</v>
      </c>
      <c r="R1106" s="32">
        <v>48</v>
      </c>
      <c r="S1106" s="33">
        <v>0.33</v>
      </c>
      <c r="T1106" s="34">
        <f t="shared" si="35"/>
        <v>71.641791044776127</v>
      </c>
      <c r="U1106" s="34">
        <f t="shared" si="36"/>
        <v>72.53731343283583</v>
      </c>
      <c r="V1106" t="s">
        <v>79</v>
      </c>
      <c r="W1106" s="32">
        <v>15</v>
      </c>
      <c r="X1106" s="32" t="s">
        <v>80</v>
      </c>
      <c r="AD1106" s="1">
        <v>98681654056</v>
      </c>
      <c r="AN1106">
        <v>30</v>
      </c>
      <c r="AO1106" t="s">
        <v>81</v>
      </c>
    </row>
    <row r="1107" spans="1:41" ht="90" x14ac:dyDescent="0.25">
      <c r="A1107" s="2">
        <v>98681653905</v>
      </c>
      <c r="B1107" t="s">
        <v>71</v>
      </c>
      <c r="C1107" t="s">
        <v>72</v>
      </c>
      <c r="D1107" t="s">
        <v>3359</v>
      </c>
      <c r="E1107" t="s">
        <v>3360</v>
      </c>
      <c r="F1107">
        <v>316210</v>
      </c>
      <c r="G1107" s="35" t="s">
        <v>3294</v>
      </c>
      <c r="H1107" s="31" t="s">
        <v>3361</v>
      </c>
      <c r="J1107" t="s">
        <v>77</v>
      </c>
      <c r="M1107">
        <v>100</v>
      </c>
      <c r="P1107" t="s">
        <v>78</v>
      </c>
      <c r="Q1107" s="55">
        <v>87.272727272727266</v>
      </c>
      <c r="R1107" s="32">
        <v>48</v>
      </c>
      <c r="S1107" s="33">
        <v>0.33</v>
      </c>
      <c r="T1107" s="34">
        <f t="shared" si="35"/>
        <v>71.641791044776127</v>
      </c>
      <c r="U1107" s="34">
        <f t="shared" si="36"/>
        <v>72.53731343283583</v>
      </c>
      <c r="V1107" t="s">
        <v>79</v>
      </c>
      <c r="W1107" s="32">
        <v>15</v>
      </c>
      <c r="X1107" s="32" t="s">
        <v>80</v>
      </c>
      <c r="AD1107" s="1">
        <v>98681653905</v>
      </c>
      <c r="AN1107">
        <v>30</v>
      </c>
      <c r="AO1107" t="s">
        <v>81</v>
      </c>
    </row>
    <row r="1108" spans="1:41" ht="90" x14ac:dyDescent="0.25">
      <c r="A1108" s="2">
        <v>98681654063</v>
      </c>
      <c r="B1108" t="s">
        <v>71</v>
      </c>
      <c r="C1108" t="s">
        <v>72</v>
      </c>
      <c r="D1108" t="s">
        <v>3362</v>
      </c>
      <c r="E1108" t="s">
        <v>3363</v>
      </c>
      <c r="F1108">
        <v>316210</v>
      </c>
      <c r="G1108" s="35" t="s">
        <v>3294</v>
      </c>
      <c r="H1108" s="31" t="s">
        <v>3364</v>
      </c>
      <c r="J1108" t="s">
        <v>77</v>
      </c>
      <c r="M1108">
        <v>100</v>
      </c>
      <c r="P1108" t="s">
        <v>78</v>
      </c>
      <c r="Q1108" s="55">
        <v>87.272727272727266</v>
      </c>
      <c r="R1108" s="32">
        <v>48</v>
      </c>
      <c r="S1108" s="33">
        <v>0.33</v>
      </c>
      <c r="T1108" s="34">
        <f t="shared" si="35"/>
        <v>71.641791044776127</v>
      </c>
      <c r="U1108" s="34">
        <f t="shared" si="36"/>
        <v>72.53731343283583</v>
      </c>
      <c r="V1108" t="s">
        <v>79</v>
      </c>
      <c r="W1108" s="32">
        <v>15</v>
      </c>
      <c r="X1108" s="32" t="s">
        <v>80</v>
      </c>
      <c r="AD1108" s="1">
        <v>98681654063</v>
      </c>
      <c r="AN1108">
        <v>30</v>
      </c>
      <c r="AO1108" t="s">
        <v>81</v>
      </c>
    </row>
    <row r="1109" spans="1:41" ht="90" x14ac:dyDescent="0.25">
      <c r="A1109" s="2">
        <v>98681653929</v>
      </c>
      <c r="B1109" t="s">
        <v>71</v>
      </c>
      <c r="C1109" t="s">
        <v>72</v>
      </c>
      <c r="D1109" t="s">
        <v>3365</v>
      </c>
      <c r="E1109" t="s">
        <v>3366</v>
      </c>
      <c r="F1109">
        <v>316210</v>
      </c>
      <c r="G1109" s="35" t="s">
        <v>3294</v>
      </c>
      <c r="H1109" s="31" t="s">
        <v>3367</v>
      </c>
      <c r="J1109" t="s">
        <v>77</v>
      </c>
      <c r="M1109">
        <v>100</v>
      </c>
      <c r="P1109" t="s">
        <v>78</v>
      </c>
      <c r="Q1109" s="55">
        <v>87.272727272727266</v>
      </c>
      <c r="R1109" s="32">
        <v>48</v>
      </c>
      <c r="S1109" s="33">
        <v>0.33</v>
      </c>
      <c r="T1109" s="34">
        <f t="shared" si="35"/>
        <v>71.641791044776127</v>
      </c>
      <c r="U1109" s="34">
        <f t="shared" si="36"/>
        <v>72.53731343283583</v>
      </c>
      <c r="V1109" t="s">
        <v>79</v>
      </c>
      <c r="W1109" s="32">
        <v>15</v>
      </c>
      <c r="X1109" s="32" t="s">
        <v>80</v>
      </c>
      <c r="AD1109" s="1">
        <v>98681653929</v>
      </c>
      <c r="AN1109">
        <v>30</v>
      </c>
      <c r="AO1109" t="s">
        <v>81</v>
      </c>
    </row>
    <row r="1110" spans="1:41" ht="90" x14ac:dyDescent="0.25">
      <c r="A1110" s="2">
        <v>98681654070</v>
      </c>
      <c r="B1110" t="s">
        <v>71</v>
      </c>
      <c r="C1110" t="s">
        <v>72</v>
      </c>
      <c r="D1110" t="s">
        <v>3368</v>
      </c>
      <c r="E1110" t="s">
        <v>3369</v>
      </c>
      <c r="F1110">
        <v>316210</v>
      </c>
      <c r="G1110" s="35" t="s">
        <v>3294</v>
      </c>
      <c r="H1110" s="31" t="s">
        <v>3370</v>
      </c>
      <c r="J1110" t="s">
        <v>77</v>
      </c>
      <c r="M1110">
        <v>100</v>
      </c>
      <c r="P1110" t="s">
        <v>78</v>
      </c>
      <c r="Q1110" s="55">
        <v>87.272727272727266</v>
      </c>
      <c r="R1110" s="32">
        <v>48</v>
      </c>
      <c r="S1110" s="33">
        <v>0.33</v>
      </c>
      <c r="T1110" s="34">
        <f t="shared" si="35"/>
        <v>71.641791044776127</v>
      </c>
      <c r="U1110" s="34">
        <f t="shared" si="36"/>
        <v>72.53731343283583</v>
      </c>
      <c r="V1110" t="s">
        <v>79</v>
      </c>
      <c r="W1110" s="32">
        <v>15</v>
      </c>
      <c r="X1110" s="32" t="s">
        <v>80</v>
      </c>
      <c r="AD1110" s="1">
        <v>98681654070</v>
      </c>
      <c r="AN1110">
        <v>30</v>
      </c>
      <c r="AO1110" t="s">
        <v>81</v>
      </c>
    </row>
    <row r="1111" spans="1:41" ht="90" x14ac:dyDescent="0.25">
      <c r="A1111" s="2">
        <v>98681653943</v>
      </c>
      <c r="B1111" t="s">
        <v>71</v>
      </c>
      <c r="C1111" t="s">
        <v>72</v>
      </c>
      <c r="D1111" t="s">
        <v>3371</v>
      </c>
      <c r="E1111" t="s">
        <v>3372</v>
      </c>
      <c r="F1111">
        <v>316210</v>
      </c>
      <c r="G1111" s="35" t="s">
        <v>3294</v>
      </c>
      <c r="H1111" s="31" t="s">
        <v>3373</v>
      </c>
      <c r="J1111" t="s">
        <v>77</v>
      </c>
      <c r="M1111">
        <v>100</v>
      </c>
      <c r="P1111" t="s">
        <v>78</v>
      </c>
      <c r="Q1111" s="55">
        <v>87.272727272727266</v>
      </c>
      <c r="R1111" s="32">
        <v>48</v>
      </c>
      <c r="S1111" s="33">
        <v>0.33</v>
      </c>
      <c r="T1111" s="34">
        <f t="shared" si="35"/>
        <v>71.641791044776127</v>
      </c>
      <c r="U1111" s="34">
        <f t="shared" si="36"/>
        <v>72.53731343283583</v>
      </c>
      <c r="V1111" t="s">
        <v>79</v>
      </c>
      <c r="W1111" s="32">
        <v>15</v>
      </c>
      <c r="X1111" s="32" t="s">
        <v>80</v>
      </c>
      <c r="AD1111" s="1">
        <v>98681653943</v>
      </c>
      <c r="AN1111">
        <v>30</v>
      </c>
      <c r="AO1111" t="s">
        <v>81</v>
      </c>
    </row>
    <row r="1112" spans="1:41" ht="90" x14ac:dyDescent="0.25">
      <c r="A1112" s="2">
        <v>635841381584</v>
      </c>
      <c r="B1112" t="s">
        <v>71</v>
      </c>
      <c r="C1112" t="s">
        <v>72</v>
      </c>
      <c r="D1112" t="s">
        <v>3374</v>
      </c>
      <c r="E1112" t="s">
        <v>3375</v>
      </c>
      <c r="F1112">
        <v>316210</v>
      </c>
      <c r="G1112" s="35" t="s">
        <v>3294</v>
      </c>
      <c r="H1112" s="31" t="s">
        <v>3376</v>
      </c>
      <c r="J1112" t="s">
        <v>77</v>
      </c>
      <c r="M1112">
        <v>100</v>
      </c>
      <c r="P1112" t="s">
        <v>78</v>
      </c>
      <c r="Q1112" s="55">
        <v>87.272727272727266</v>
      </c>
      <c r="R1112" s="32">
        <v>48</v>
      </c>
      <c r="S1112" s="33">
        <v>0.33</v>
      </c>
      <c r="T1112" s="34">
        <f t="shared" si="35"/>
        <v>71.641791044776127</v>
      </c>
      <c r="U1112" s="34">
        <f t="shared" si="36"/>
        <v>72.53731343283583</v>
      </c>
      <c r="V1112" t="s">
        <v>79</v>
      </c>
      <c r="W1112" s="32">
        <v>15</v>
      </c>
      <c r="X1112" s="32" t="s">
        <v>80</v>
      </c>
      <c r="AD1112" s="1">
        <v>635841381584</v>
      </c>
      <c r="AN1112">
        <v>30</v>
      </c>
      <c r="AO1112" t="s">
        <v>81</v>
      </c>
    </row>
    <row r="1113" spans="1:41" ht="90" x14ac:dyDescent="0.25">
      <c r="A1113" s="2">
        <v>635841381560</v>
      </c>
      <c r="B1113" t="s">
        <v>71</v>
      </c>
      <c r="C1113" t="s">
        <v>72</v>
      </c>
      <c r="D1113" t="s">
        <v>3377</v>
      </c>
      <c r="E1113" t="s">
        <v>3378</v>
      </c>
      <c r="F1113">
        <v>316210</v>
      </c>
      <c r="G1113" s="35" t="s">
        <v>3294</v>
      </c>
      <c r="H1113" s="31" t="s">
        <v>3379</v>
      </c>
      <c r="J1113" t="s">
        <v>77</v>
      </c>
      <c r="M1113">
        <v>100</v>
      </c>
      <c r="P1113" t="s">
        <v>78</v>
      </c>
      <c r="Q1113" s="55">
        <v>87.272727272727266</v>
      </c>
      <c r="R1113" s="32">
        <v>48</v>
      </c>
      <c r="S1113" s="33">
        <v>0.33</v>
      </c>
      <c r="T1113" s="34">
        <f t="shared" si="35"/>
        <v>71.641791044776127</v>
      </c>
      <c r="U1113" s="34">
        <f t="shared" si="36"/>
        <v>72.53731343283583</v>
      </c>
      <c r="V1113" t="s">
        <v>79</v>
      </c>
      <c r="W1113" s="32">
        <v>15</v>
      </c>
      <c r="X1113" s="32" t="s">
        <v>80</v>
      </c>
      <c r="AD1113" s="1">
        <v>635841381560</v>
      </c>
      <c r="AN1113">
        <v>30</v>
      </c>
      <c r="AO1113" t="s">
        <v>81</v>
      </c>
    </row>
    <row r="1114" spans="1:41" ht="60" x14ac:dyDescent="0.25">
      <c r="A1114" s="2">
        <v>773040175228</v>
      </c>
      <c r="B1114" t="s">
        <v>71</v>
      </c>
      <c r="C1114" t="s">
        <v>72</v>
      </c>
      <c r="D1114" t="s">
        <v>3380</v>
      </c>
      <c r="E1114" t="s">
        <v>3381</v>
      </c>
      <c r="F1114">
        <v>316210</v>
      </c>
      <c r="G1114" s="35" t="s">
        <v>3382</v>
      </c>
      <c r="H1114" s="31" t="s">
        <v>3383</v>
      </c>
      <c r="J1114" t="s">
        <v>77</v>
      </c>
      <c r="M1114">
        <v>110</v>
      </c>
      <c r="P1114" t="s">
        <v>78</v>
      </c>
      <c r="Q1114" s="55">
        <v>98.181818181818173</v>
      </c>
      <c r="R1114" s="32">
        <v>54</v>
      </c>
      <c r="S1114" s="33">
        <v>0.33</v>
      </c>
      <c r="T1114" s="34">
        <f t="shared" si="35"/>
        <v>80.597014925373145</v>
      </c>
      <c r="U1114" s="34">
        <f t="shared" si="36"/>
        <v>81.604477611940311</v>
      </c>
      <c r="V1114" t="s">
        <v>79</v>
      </c>
      <c r="W1114" s="32">
        <v>15</v>
      </c>
      <c r="X1114" s="32" t="s">
        <v>80</v>
      </c>
      <c r="AD1114" s="1">
        <v>773040175228</v>
      </c>
      <c r="AN1114">
        <v>30</v>
      </c>
      <c r="AO1114" t="s">
        <v>81</v>
      </c>
    </row>
    <row r="1115" spans="1:41" ht="60" x14ac:dyDescent="0.25">
      <c r="A1115" s="2">
        <v>773040175235</v>
      </c>
      <c r="B1115" t="s">
        <v>71</v>
      </c>
      <c r="C1115" t="s">
        <v>72</v>
      </c>
      <c r="D1115" t="s">
        <v>3384</v>
      </c>
      <c r="E1115" t="s">
        <v>3385</v>
      </c>
      <c r="F1115">
        <v>316210</v>
      </c>
      <c r="G1115" s="35" t="s">
        <v>3382</v>
      </c>
      <c r="H1115" s="31" t="s">
        <v>3386</v>
      </c>
      <c r="J1115" t="s">
        <v>77</v>
      </c>
      <c r="M1115">
        <v>110</v>
      </c>
      <c r="P1115" t="s">
        <v>78</v>
      </c>
      <c r="Q1115" s="55">
        <v>98.181818181818173</v>
      </c>
      <c r="R1115" s="32">
        <v>54</v>
      </c>
      <c r="S1115" s="33">
        <v>0.33</v>
      </c>
      <c r="T1115" s="34">
        <f t="shared" si="35"/>
        <v>80.597014925373145</v>
      </c>
      <c r="U1115" s="34">
        <f t="shared" si="36"/>
        <v>81.604477611940311</v>
      </c>
      <c r="V1115" t="s">
        <v>79</v>
      </c>
      <c r="W1115" s="32">
        <v>15</v>
      </c>
      <c r="X1115" s="32" t="s">
        <v>80</v>
      </c>
      <c r="AD1115" s="1">
        <v>773040175235</v>
      </c>
      <c r="AN1115">
        <v>30</v>
      </c>
      <c r="AO1115" t="s">
        <v>81</v>
      </c>
    </row>
    <row r="1116" spans="1:41" ht="60" x14ac:dyDescent="0.25">
      <c r="A1116" s="2">
        <v>773040175242</v>
      </c>
      <c r="B1116" t="s">
        <v>71</v>
      </c>
      <c r="C1116" t="s">
        <v>72</v>
      </c>
      <c r="D1116" t="s">
        <v>3387</v>
      </c>
      <c r="E1116" t="s">
        <v>3388</v>
      </c>
      <c r="F1116">
        <v>316210</v>
      </c>
      <c r="G1116" s="35" t="s">
        <v>3382</v>
      </c>
      <c r="H1116" s="31" t="s">
        <v>3389</v>
      </c>
      <c r="J1116" t="s">
        <v>77</v>
      </c>
      <c r="M1116">
        <v>110</v>
      </c>
      <c r="P1116" t="s">
        <v>78</v>
      </c>
      <c r="Q1116" s="55">
        <v>98.181818181818173</v>
      </c>
      <c r="R1116" s="32">
        <v>54</v>
      </c>
      <c r="S1116" s="33">
        <v>0.33</v>
      </c>
      <c r="T1116" s="34">
        <f t="shared" si="35"/>
        <v>80.597014925373145</v>
      </c>
      <c r="U1116" s="34">
        <f t="shared" si="36"/>
        <v>81.604477611940311</v>
      </c>
      <c r="V1116" t="s">
        <v>79</v>
      </c>
      <c r="W1116" s="32">
        <v>15</v>
      </c>
      <c r="X1116" s="32" t="s">
        <v>80</v>
      </c>
      <c r="AD1116" s="1">
        <v>773040175242</v>
      </c>
      <c r="AN1116">
        <v>30</v>
      </c>
      <c r="AO1116" t="s">
        <v>81</v>
      </c>
    </row>
    <row r="1117" spans="1:41" ht="60" x14ac:dyDescent="0.25">
      <c r="A1117" s="2">
        <v>773040175259</v>
      </c>
      <c r="B1117" t="s">
        <v>71</v>
      </c>
      <c r="C1117" t="s">
        <v>72</v>
      </c>
      <c r="D1117" t="s">
        <v>3390</v>
      </c>
      <c r="E1117" t="s">
        <v>3391</v>
      </c>
      <c r="F1117">
        <v>316210</v>
      </c>
      <c r="G1117" s="35" t="s">
        <v>3382</v>
      </c>
      <c r="H1117" s="31" t="s">
        <v>3392</v>
      </c>
      <c r="J1117" t="s">
        <v>77</v>
      </c>
      <c r="M1117">
        <v>110</v>
      </c>
      <c r="P1117" t="s">
        <v>78</v>
      </c>
      <c r="Q1117" s="55">
        <v>98.181818181818173</v>
      </c>
      <c r="R1117" s="32">
        <v>54</v>
      </c>
      <c r="S1117" s="33">
        <v>0.33</v>
      </c>
      <c r="T1117" s="34">
        <f t="shared" si="35"/>
        <v>80.597014925373145</v>
      </c>
      <c r="U1117" s="34">
        <f t="shared" si="36"/>
        <v>81.604477611940311</v>
      </c>
      <c r="V1117" t="s">
        <v>79</v>
      </c>
      <c r="W1117" s="32">
        <v>15</v>
      </c>
      <c r="X1117" s="32" t="s">
        <v>80</v>
      </c>
      <c r="AD1117" s="1">
        <v>773040175259</v>
      </c>
      <c r="AN1117">
        <v>30</v>
      </c>
      <c r="AO1117" t="s">
        <v>81</v>
      </c>
    </row>
    <row r="1118" spans="1:41" ht="60" x14ac:dyDescent="0.25">
      <c r="A1118" s="2">
        <v>773040175266</v>
      </c>
      <c r="B1118" t="s">
        <v>71</v>
      </c>
      <c r="C1118" t="s">
        <v>72</v>
      </c>
      <c r="D1118" t="s">
        <v>3393</v>
      </c>
      <c r="E1118" t="s">
        <v>3394</v>
      </c>
      <c r="F1118">
        <v>316210</v>
      </c>
      <c r="G1118" s="35" t="s">
        <v>3382</v>
      </c>
      <c r="H1118" s="31" t="s">
        <v>3395</v>
      </c>
      <c r="J1118" t="s">
        <v>77</v>
      </c>
      <c r="M1118">
        <v>110</v>
      </c>
      <c r="P1118" t="s">
        <v>78</v>
      </c>
      <c r="Q1118" s="55">
        <v>98.181818181818173</v>
      </c>
      <c r="R1118" s="32">
        <v>54</v>
      </c>
      <c r="S1118" s="33">
        <v>0.33</v>
      </c>
      <c r="T1118" s="34">
        <f t="shared" si="35"/>
        <v>80.597014925373145</v>
      </c>
      <c r="U1118" s="34">
        <f t="shared" si="36"/>
        <v>81.604477611940311</v>
      </c>
      <c r="V1118" t="s">
        <v>79</v>
      </c>
      <c r="W1118" s="32">
        <v>15</v>
      </c>
      <c r="X1118" s="32" t="s">
        <v>80</v>
      </c>
      <c r="AD1118" s="1">
        <v>773040175266</v>
      </c>
      <c r="AN1118">
        <v>30</v>
      </c>
      <c r="AO1118" t="s">
        <v>81</v>
      </c>
    </row>
    <row r="1119" spans="1:41" ht="60" x14ac:dyDescent="0.25">
      <c r="A1119" s="2">
        <v>773040175273</v>
      </c>
      <c r="B1119" t="s">
        <v>71</v>
      </c>
      <c r="C1119" t="s">
        <v>72</v>
      </c>
      <c r="D1119" t="s">
        <v>3396</v>
      </c>
      <c r="E1119" t="s">
        <v>3397</v>
      </c>
      <c r="F1119">
        <v>316210</v>
      </c>
      <c r="G1119" s="35" t="s">
        <v>3382</v>
      </c>
      <c r="H1119" s="31" t="s">
        <v>3398</v>
      </c>
      <c r="J1119" t="s">
        <v>77</v>
      </c>
      <c r="M1119">
        <v>110</v>
      </c>
      <c r="P1119" t="s">
        <v>78</v>
      </c>
      <c r="Q1119" s="55">
        <v>98.181818181818173</v>
      </c>
      <c r="R1119" s="32">
        <v>54</v>
      </c>
      <c r="S1119" s="33">
        <v>0.33</v>
      </c>
      <c r="T1119" s="34">
        <f t="shared" si="35"/>
        <v>80.597014925373145</v>
      </c>
      <c r="U1119" s="34">
        <f t="shared" si="36"/>
        <v>81.604477611940311</v>
      </c>
      <c r="V1119" t="s">
        <v>79</v>
      </c>
      <c r="W1119" s="32">
        <v>15</v>
      </c>
      <c r="X1119" s="32" t="s">
        <v>80</v>
      </c>
      <c r="AD1119" s="1">
        <v>773040175273</v>
      </c>
      <c r="AN1119">
        <v>30</v>
      </c>
      <c r="AO1119" t="s">
        <v>81</v>
      </c>
    </row>
    <row r="1120" spans="1:41" ht="60" x14ac:dyDescent="0.25">
      <c r="A1120" s="2">
        <v>98681654254</v>
      </c>
      <c r="B1120" t="s">
        <v>71</v>
      </c>
      <c r="C1120" t="s">
        <v>72</v>
      </c>
      <c r="D1120" t="s">
        <v>3399</v>
      </c>
      <c r="E1120" t="s">
        <v>3400</v>
      </c>
      <c r="F1120">
        <v>316210</v>
      </c>
      <c r="G1120" s="35" t="s">
        <v>3382</v>
      </c>
      <c r="H1120" s="31" t="s">
        <v>3401</v>
      </c>
      <c r="J1120" t="s">
        <v>77</v>
      </c>
      <c r="M1120">
        <v>110</v>
      </c>
      <c r="P1120" t="s">
        <v>78</v>
      </c>
      <c r="Q1120" s="55">
        <v>98.181818181818173</v>
      </c>
      <c r="R1120" s="32">
        <v>54</v>
      </c>
      <c r="S1120" s="33">
        <v>0.33</v>
      </c>
      <c r="T1120" s="34">
        <f t="shared" si="35"/>
        <v>80.597014925373145</v>
      </c>
      <c r="U1120" s="34">
        <f t="shared" si="36"/>
        <v>81.604477611940311</v>
      </c>
      <c r="V1120" t="s">
        <v>79</v>
      </c>
      <c r="W1120" s="32">
        <v>15</v>
      </c>
      <c r="X1120" s="32" t="s">
        <v>80</v>
      </c>
      <c r="AD1120" s="1">
        <v>98681654254</v>
      </c>
      <c r="AN1120">
        <v>30</v>
      </c>
      <c r="AO1120" t="s">
        <v>81</v>
      </c>
    </row>
    <row r="1121" spans="1:41" ht="60" x14ac:dyDescent="0.25">
      <c r="A1121" s="2">
        <v>98681654506</v>
      </c>
      <c r="B1121" t="s">
        <v>71</v>
      </c>
      <c r="C1121" t="s">
        <v>72</v>
      </c>
      <c r="D1121" t="s">
        <v>3402</v>
      </c>
      <c r="E1121" t="s">
        <v>3403</v>
      </c>
      <c r="F1121">
        <v>316210</v>
      </c>
      <c r="G1121" s="35" t="s">
        <v>3382</v>
      </c>
      <c r="H1121" s="31" t="s">
        <v>3404</v>
      </c>
      <c r="J1121" t="s">
        <v>77</v>
      </c>
      <c r="M1121">
        <v>110</v>
      </c>
      <c r="P1121" t="s">
        <v>78</v>
      </c>
      <c r="Q1121" s="55">
        <v>98.181818181818173</v>
      </c>
      <c r="R1121" s="32">
        <v>54</v>
      </c>
      <c r="S1121" s="33">
        <v>0.33</v>
      </c>
      <c r="T1121" s="34">
        <f t="shared" si="35"/>
        <v>80.597014925373145</v>
      </c>
      <c r="U1121" s="34">
        <f t="shared" si="36"/>
        <v>81.604477611940311</v>
      </c>
      <c r="V1121" t="s">
        <v>79</v>
      </c>
      <c r="W1121" s="32">
        <v>15</v>
      </c>
      <c r="X1121" s="32" t="s">
        <v>80</v>
      </c>
      <c r="AD1121" s="1">
        <v>98681654506</v>
      </c>
      <c r="AN1121">
        <v>30</v>
      </c>
      <c r="AO1121" t="s">
        <v>81</v>
      </c>
    </row>
    <row r="1122" spans="1:41" ht="60" x14ac:dyDescent="0.25">
      <c r="A1122" s="2">
        <v>98681654261</v>
      </c>
      <c r="B1122" t="s">
        <v>71</v>
      </c>
      <c r="C1122" t="s">
        <v>72</v>
      </c>
      <c r="D1122" t="s">
        <v>3405</v>
      </c>
      <c r="E1122" t="s">
        <v>3406</v>
      </c>
      <c r="F1122">
        <v>316210</v>
      </c>
      <c r="G1122" s="35" t="s">
        <v>3382</v>
      </c>
      <c r="H1122" s="31" t="s">
        <v>3407</v>
      </c>
      <c r="J1122" t="s">
        <v>77</v>
      </c>
      <c r="M1122">
        <v>110</v>
      </c>
      <c r="P1122" t="s">
        <v>78</v>
      </c>
      <c r="Q1122" s="55">
        <v>98.181818181818173</v>
      </c>
      <c r="R1122" s="32">
        <v>54</v>
      </c>
      <c r="S1122" s="33">
        <v>0.33</v>
      </c>
      <c r="T1122" s="34">
        <f t="shared" si="35"/>
        <v>80.597014925373145</v>
      </c>
      <c r="U1122" s="34">
        <f t="shared" si="36"/>
        <v>81.604477611940311</v>
      </c>
      <c r="V1122" t="s">
        <v>79</v>
      </c>
      <c r="W1122" s="32">
        <v>15</v>
      </c>
      <c r="X1122" s="32" t="s">
        <v>80</v>
      </c>
      <c r="AD1122" s="1">
        <v>98681654261</v>
      </c>
      <c r="AN1122">
        <v>30</v>
      </c>
      <c r="AO1122" t="s">
        <v>81</v>
      </c>
    </row>
    <row r="1123" spans="1:41" ht="60" x14ac:dyDescent="0.25">
      <c r="A1123" s="2">
        <v>98681654520</v>
      </c>
      <c r="B1123" t="s">
        <v>71</v>
      </c>
      <c r="C1123" t="s">
        <v>72</v>
      </c>
      <c r="D1123" t="s">
        <v>3408</v>
      </c>
      <c r="E1123" t="s">
        <v>3409</v>
      </c>
      <c r="F1123">
        <v>316210</v>
      </c>
      <c r="G1123" s="35" t="s">
        <v>3382</v>
      </c>
      <c r="H1123" s="31" t="s">
        <v>3410</v>
      </c>
      <c r="J1123" t="s">
        <v>77</v>
      </c>
      <c r="M1123">
        <v>110</v>
      </c>
      <c r="P1123" t="s">
        <v>78</v>
      </c>
      <c r="Q1123" s="55">
        <v>98.181818181818173</v>
      </c>
      <c r="R1123" s="32">
        <v>54</v>
      </c>
      <c r="S1123" s="33">
        <v>0.33</v>
      </c>
      <c r="T1123" s="34">
        <f t="shared" si="35"/>
        <v>80.597014925373145</v>
      </c>
      <c r="U1123" s="34">
        <f t="shared" si="36"/>
        <v>81.604477611940311</v>
      </c>
      <c r="V1123" t="s">
        <v>79</v>
      </c>
      <c r="W1123" s="32">
        <v>15</v>
      </c>
      <c r="X1123" s="32" t="s">
        <v>80</v>
      </c>
      <c r="AD1123" s="1">
        <v>98681654520</v>
      </c>
      <c r="AN1123">
        <v>30</v>
      </c>
      <c r="AO1123" t="s">
        <v>81</v>
      </c>
    </row>
    <row r="1124" spans="1:41" ht="60" x14ac:dyDescent="0.25">
      <c r="A1124" s="2">
        <v>98681654278</v>
      </c>
      <c r="B1124" t="s">
        <v>71</v>
      </c>
      <c r="C1124" t="s">
        <v>72</v>
      </c>
      <c r="D1124" t="s">
        <v>3411</v>
      </c>
      <c r="E1124" t="s">
        <v>3412</v>
      </c>
      <c r="F1124">
        <v>316210</v>
      </c>
      <c r="G1124" s="35" t="s">
        <v>3382</v>
      </c>
      <c r="H1124" s="31" t="s">
        <v>3413</v>
      </c>
      <c r="J1124" t="s">
        <v>77</v>
      </c>
      <c r="M1124">
        <v>110</v>
      </c>
      <c r="P1124" t="s">
        <v>78</v>
      </c>
      <c r="Q1124" s="55">
        <v>98.181818181818173</v>
      </c>
      <c r="R1124" s="32">
        <v>54</v>
      </c>
      <c r="S1124" s="33">
        <v>0.33</v>
      </c>
      <c r="T1124" s="34">
        <f t="shared" ref="T1124:T1173" si="37">R1124/(1-S1124)</f>
        <v>80.597014925373145</v>
      </c>
      <c r="U1124" s="34">
        <f t="shared" ref="U1124:U1173" si="38">T1124*(1+1.25%)</f>
        <v>81.604477611940311</v>
      </c>
      <c r="V1124" t="s">
        <v>79</v>
      </c>
      <c r="W1124" s="32">
        <v>15</v>
      </c>
      <c r="X1124" s="32" t="s">
        <v>80</v>
      </c>
      <c r="AD1124" s="1">
        <v>98681654278</v>
      </c>
      <c r="AN1124">
        <v>30</v>
      </c>
      <c r="AO1124" t="s">
        <v>81</v>
      </c>
    </row>
    <row r="1125" spans="1:41" ht="60" x14ac:dyDescent="0.25">
      <c r="A1125" s="2">
        <v>98681654544</v>
      </c>
      <c r="B1125" t="s">
        <v>71</v>
      </c>
      <c r="C1125" t="s">
        <v>72</v>
      </c>
      <c r="D1125" t="s">
        <v>3414</v>
      </c>
      <c r="E1125" t="s">
        <v>3415</v>
      </c>
      <c r="F1125">
        <v>316210</v>
      </c>
      <c r="G1125" s="35" t="s">
        <v>3382</v>
      </c>
      <c r="H1125" s="31" t="s">
        <v>3416</v>
      </c>
      <c r="J1125" t="s">
        <v>77</v>
      </c>
      <c r="M1125">
        <v>110</v>
      </c>
      <c r="P1125" t="s">
        <v>78</v>
      </c>
      <c r="Q1125" s="55">
        <v>98.181818181818173</v>
      </c>
      <c r="R1125" s="32">
        <v>54</v>
      </c>
      <c r="S1125" s="33">
        <v>0.33</v>
      </c>
      <c r="T1125" s="34">
        <f t="shared" si="37"/>
        <v>80.597014925373145</v>
      </c>
      <c r="U1125" s="34">
        <f t="shared" si="38"/>
        <v>81.604477611940311</v>
      </c>
      <c r="V1125" t="s">
        <v>79</v>
      </c>
      <c r="W1125" s="32">
        <v>15</v>
      </c>
      <c r="X1125" s="32" t="s">
        <v>80</v>
      </c>
      <c r="AD1125" s="1">
        <v>98681654544</v>
      </c>
      <c r="AN1125">
        <v>30</v>
      </c>
      <c r="AO1125" t="s">
        <v>81</v>
      </c>
    </row>
    <row r="1126" spans="1:41" ht="60" x14ac:dyDescent="0.25">
      <c r="A1126" s="2">
        <v>98681654285</v>
      </c>
      <c r="B1126" t="s">
        <v>71</v>
      </c>
      <c r="C1126" t="s">
        <v>72</v>
      </c>
      <c r="D1126" t="s">
        <v>3417</v>
      </c>
      <c r="E1126" t="s">
        <v>3418</v>
      </c>
      <c r="F1126">
        <v>316210</v>
      </c>
      <c r="G1126" s="35" t="s">
        <v>3382</v>
      </c>
      <c r="H1126" s="31" t="s">
        <v>3419</v>
      </c>
      <c r="J1126" t="s">
        <v>77</v>
      </c>
      <c r="M1126">
        <v>110</v>
      </c>
      <c r="P1126" t="s">
        <v>78</v>
      </c>
      <c r="Q1126" s="55">
        <v>98.181818181818173</v>
      </c>
      <c r="R1126" s="32">
        <v>54</v>
      </c>
      <c r="S1126" s="33">
        <v>0.33</v>
      </c>
      <c r="T1126" s="34">
        <f t="shared" si="37"/>
        <v>80.597014925373145</v>
      </c>
      <c r="U1126" s="34">
        <f t="shared" si="38"/>
        <v>81.604477611940311</v>
      </c>
      <c r="V1126" t="s">
        <v>79</v>
      </c>
      <c r="W1126" s="32">
        <v>15</v>
      </c>
      <c r="X1126" s="32" t="s">
        <v>80</v>
      </c>
      <c r="AD1126" s="1">
        <v>98681654285</v>
      </c>
      <c r="AN1126">
        <v>30</v>
      </c>
      <c r="AO1126" t="s">
        <v>81</v>
      </c>
    </row>
    <row r="1127" spans="1:41" ht="60" x14ac:dyDescent="0.25">
      <c r="A1127" s="2">
        <v>98681654551</v>
      </c>
      <c r="B1127" t="s">
        <v>71</v>
      </c>
      <c r="C1127" t="s">
        <v>72</v>
      </c>
      <c r="D1127" t="s">
        <v>3420</v>
      </c>
      <c r="E1127" t="s">
        <v>3421</v>
      </c>
      <c r="F1127">
        <v>316210</v>
      </c>
      <c r="G1127" s="35" t="s">
        <v>3382</v>
      </c>
      <c r="H1127" s="31" t="s">
        <v>3422</v>
      </c>
      <c r="J1127" t="s">
        <v>77</v>
      </c>
      <c r="M1127">
        <v>110</v>
      </c>
      <c r="P1127" t="s">
        <v>78</v>
      </c>
      <c r="Q1127" s="55">
        <v>98.181818181818173</v>
      </c>
      <c r="R1127" s="32">
        <v>54</v>
      </c>
      <c r="S1127" s="33">
        <v>0.33</v>
      </c>
      <c r="T1127" s="34">
        <f t="shared" si="37"/>
        <v>80.597014925373145</v>
      </c>
      <c r="U1127" s="34">
        <f t="shared" si="38"/>
        <v>81.604477611940311</v>
      </c>
      <c r="V1127" t="s">
        <v>79</v>
      </c>
      <c r="W1127" s="32">
        <v>15</v>
      </c>
      <c r="X1127" s="32" t="s">
        <v>80</v>
      </c>
      <c r="AD1127" s="1">
        <v>98681654551</v>
      </c>
      <c r="AN1127">
        <v>30</v>
      </c>
      <c r="AO1127" t="s">
        <v>81</v>
      </c>
    </row>
    <row r="1128" spans="1:41" ht="60" x14ac:dyDescent="0.25">
      <c r="A1128" s="2">
        <v>98681654292</v>
      </c>
      <c r="B1128" t="s">
        <v>71</v>
      </c>
      <c r="C1128" t="s">
        <v>72</v>
      </c>
      <c r="D1128" t="s">
        <v>3423</v>
      </c>
      <c r="E1128" t="s">
        <v>3424</v>
      </c>
      <c r="F1128">
        <v>316210</v>
      </c>
      <c r="G1128" s="35" t="s">
        <v>3382</v>
      </c>
      <c r="H1128" s="31" t="s">
        <v>3425</v>
      </c>
      <c r="J1128" t="s">
        <v>77</v>
      </c>
      <c r="M1128">
        <v>110</v>
      </c>
      <c r="P1128" t="s">
        <v>78</v>
      </c>
      <c r="Q1128" s="55">
        <v>98.181818181818173</v>
      </c>
      <c r="R1128" s="32">
        <v>54</v>
      </c>
      <c r="S1128" s="33">
        <v>0.33</v>
      </c>
      <c r="T1128" s="34">
        <f t="shared" si="37"/>
        <v>80.597014925373145</v>
      </c>
      <c r="U1128" s="34">
        <f t="shared" si="38"/>
        <v>81.604477611940311</v>
      </c>
      <c r="V1128" t="s">
        <v>79</v>
      </c>
      <c r="W1128" s="32">
        <v>15</v>
      </c>
      <c r="X1128" s="32" t="s">
        <v>80</v>
      </c>
      <c r="AD1128" s="1">
        <v>98681654292</v>
      </c>
      <c r="AN1128">
        <v>30</v>
      </c>
      <c r="AO1128" t="s">
        <v>81</v>
      </c>
    </row>
    <row r="1129" spans="1:41" ht="60" x14ac:dyDescent="0.25">
      <c r="A1129" s="2">
        <v>98681654568</v>
      </c>
      <c r="B1129" t="s">
        <v>71</v>
      </c>
      <c r="C1129" t="s">
        <v>72</v>
      </c>
      <c r="D1129" t="s">
        <v>3426</v>
      </c>
      <c r="E1129" t="s">
        <v>3427</v>
      </c>
      <c r="F1129">
        <v>316210</v>
      </c>
      <c r="G1129" s="35" t="s">
        <v>3382</v>
      </c>
      <c r="H1129" s="31" t="s">
        <v>3428</v>
      </c>
      <c r="J1129" t="s">
        <v>77</v>
      </c>
      <c r="M1129">
        <v>110</v>
      </c>
      <c r="P1129" t="s">
        <v>78</v>
      </c>
      <c r="Q1129" s="55">
        <v>98.181818181818173</v>
      </c>
      <c r="R1129" s="32">
        <v>54</v>
      </c>
      <c r="S1129" s="33">
        <v>0.33</v>
      </c>
      <c r="T1129" s="34">
        <f t="shared" si="37"/>
        <v>80.597014925373145</v>
      </c>
      <c r="U1129" s="34">
        <f t="shared" si="38"/>
        <v>81.604477611940311</v>
      </c>
      <c r="V1129" t="s">
        <v>79</v>
      </c>
      <c r="W1129" s="32">
        <v>15</v>
      </c>
      <c r="X1129" s="32" t="s">
        <v>80</v>
      </c>
      <c r="AD1129" s="1">
        <v>98681654568</v>
      </c>
      <c r="AN1129">
        <v>30</v>
      </c>
      <c r="AO1129" t="s">
        <v>81</v>
      </c>
    </row>
    <row r="1130" spans="1:41" ht="60" x14ac:dyDescent="0.25">
      <c r="A1130" s="2">
        <v>98681654308</v>
      </c>
      <c r="B1130" t="s">
        <v>71</v>
      </c>
      <c r="C1130" t="s">
        <v>72</v>
      </c>
      <c r="D1130" t="s">
        <v>3429</v>
      </c>
      <c r="E1130" t="s">
        <v>3430</v>
      </c>
      <c r="F1130">
        <v>316210</v>
      </c>
      <c r="G1130" s="35" t="s">
        <v>3382</v>
      </c>
      <c r="H1130" s="31" t="s">
        <v>3431</v>
      </c>
      <c r="J1130" t="s">
        <v>77</v>
      </c>
      <c r="M1130">
        <v>110</v>
      </c>
      <c r="P1130" t="s">
        <v>78</v>
      </c>
      <c r="Q1130" s="55">
        <v>98.181818181818173</v>
      </c>
      <c r="R1130" s="32">
        <v>54</v>
      </c>
      <c r="S1130" s="33">
        <v>0.33</v>
      </c>
      <c r="T1130" s="34">
        <f t="shared" si="37"/>
        <v>80.597014925373145</v>
      </c>
      <c r="U1130" s="34">
        <f t="shared" si="38"/>
        <v>81.604477611940311</v>
      </c>
      <c r="V1130" t="s">
        <v>79</v>
      </c>
      <c r="W1130" s="32">
        <v>15</v>
      </c>
      <c r="X1130" s="32" t="s">
        <v>80</v>
      </c>
      <c r="AD1130" s="1">
        <v>98681654308</v>
      </c>
      <c r="AN1130">
        <v>30</v>
      </c>
      <c r="AO1130" t="s">
        <v>81</v>
      </c>
    </row>
    <row r="1131" spans="1:41" ht="60" x14ac:dyDescent="0.25">
      <c r="A1131" s="2">
        <v>98681654575</v>
      </c>
      <c r="B1131" t="s">
        <v>71</v>
      </c>
      <c r="C1131" t="s">
        <v>72</v>
      </c>
      <c r="D1131" t="s">
        <v>3432</v>
      </c>
      <c r="E1131" t="s">
        <v>3433</v>
      </c>
      <c r="F1131">
        <v>316210</v>
      </c>
      <c r="G1131" s="35" t="s">
        <v>3382</v>
      </c>
      <c r="H1131" s="31" t="s">
        <v>3434</v>
      </c>
      <c r="J1131" t="s">
        <v>77</v>
      </c>
      <c r="M1131">
        <v>110</v>
      </c>
      <c r="P1131" t="s">
        <v>78</v>
      </c>
      <c r="Q1131" s="55">
        <v>98.181818181818173</v>
      </c>
      <c r="R1131" s="32">
        <v>54</v>
      </c>
      <c r="S1131" s="33">
        <v>0.33</v>
      </c>
      <c r="T1131" s="34">
        <f t="shared" si="37"/>
        <v>80.597014925373145</v>
      </c>
      <c r="U1131" s="34">
        <f t="shared" si="38"/>
        <v>81.604477611940311</v>
      </c>
      <c r="V1131" t="s">
        <v>79</v>
      </c>
      <c r="W1131" s="32">
        <v>15</v>
      </c>
      <c r="X1131" s="32" t="s">
        <v>80</v>
      </c>
      <c r="AD1131" s="1">
        <v>98681654575</v>
      </c>
      <c r="AN1131">
        <v>30</v>
      </c>
      <c r="AO1131" t="s">
        <v>81</v>
      </c>
    </row>
    <row r="1132" spans="1:41" ht="60" x14ac:dyDescent="0.25">
      <c r="A1132" s="2">
        <v>98681654315</v>
      </c>
      <c r="B1132" t="s">
        <v>71</v>
      </c>
      <c r="C1132" t="s">
        <v>72</v>
      </c>
      <c r="D1132" t="s">
        <v>3435</v>
      </c>
      <c r="E1132" t="s">
        <v>3436</v>
      </c>
      <c r="F1132">
        <v>316210</v>
      </c>
      <c r="G1132" s="35" t="s">
        <v>3382</v>
      </c>
      <c r="H1132" s="31" t="s">
        <v>3437</v>
      </c>
      <c r="J1132" t="s">
        <v>77</v>
      </c>
      <c r="M1132">
        <v>110</v>
      </c>
      <c r="P1132" t="s">
        <v>78</v>
      </c>
      <c r="Q1132" s="55">
        <v>98.181818181818173</v>
      </c>
      <c r="R1132" s="32">
        <v>54</v>
      </c>
      <c r="S1132" s="33">
        <v>0.33</v>
      </c>
      <c r="T1132" s="34">
        <f t="shared" si="37"/>
        <v>80.597014925373145</v>
      </c>
      <c r="U1132" s="34">
        <f t="shared" si="38"/>
        <v>81.604477611940311</v>
      </c>
      <c r="V1132" t="s">
        <v>79</v>
      </c>
      <c r="W1132" s="32">
        <v>15</v>
      </c>
      <c r="X1132" s="32" t="s">
        <v>80</v>
      </c>
      <c r="AD1132" s="1">
        <v>98681654315</v>
      </c>
      <c r="AN1132">
        <v>30</v>
      </c>
      <c r="AO1132" t="s">
        <v>81</v>
      </c>
    </row>
    <row r="1133" spans="1:41" ht="60" x14ac:dyDescent="0.25">
      <c r="A1133" s="2">
        <v>98681654582</v>
      </c>
      <c r="B1133" t="s">
        <v>71</v>
      </c>
      <c r="C1133" t="s">
        <v>72</v>
      </c>
      <c r="D1133" t="s">
        <v>3438</v>
      </c>
      <c r="E1133" t="s">
        <v>3439</v>
      </c>
      <c r="F1133">
        <v>316210</v>
      </c>
      <c r="G1133" s="35" t="s">
        <v>3382</v>
      </c>
      <c r="H1133" s="31" t="s">
        <v>3440</v>
      </c>
      <c r="J1133" t="s">
        <v>77</v>
      </c>
      <c r="M1133">
        <v>110</v>
      </c>
      <c r="P1133" t="s">
        <v>78</v>
      </c>
      <c r="Q1133" s="55">
        <v>98.181818181818173</v>
      </c>
      <c r="R1133" s="32">
        <v>54</v>
      </c>
      <c r="S1133" s="33">
        <v>0.33</v>
      </c>
      <c r="T1133" s="34">
        <f t="shared" si="37"/>
        <v>80.597014925373145</v>
      </c>
      <c r="U1133" s="34">
        <f t="shared" si="38"/>
        <v>81.604477611940311</v>
      </c>
      <c r="V1133" t="s">
        <v>79</v>
      </c>
      <c r="W1133" s="32">
        <v>15</v>
      </c>
      <c r="X1133" s="32" t="s">
        <v>80</v>
      </c>
      <c r="AD1133" s="1">
        <v>98681654582</v>
      </c>
      <c r="AN1133">
        <v>30</v>
      </c>
      <c r="AO1133" t="s">
        <v>81</v>
      </c>
    </row>
    <row r="1134" spans="1:41" ht="60" x14ac:dyDescent="0.25">
      <c r="A1134" s="2">
        <v>98681654322</v>
      </c>
      <c r="B1134" t="s">
        <v>71</v>
      </c>
      <c r="C1134" t="s">
        <v>72</v>
      </c>
      <c r="D1134" t="s">
        <v>3441</v>
      </c>
      <c r="E1134" t="s">
        <v>3442</v>
      </c>
      <c r="F1134">
        <v>316210</v>
      </c>
      <c r="G1134" s="35" t="s">
        <v>3382</v>
      </c>
      <c r="H1134" s="31" t="s">
        <v>3443</v>
      </c>
      <c r="J1134" t="s">
        <v>77</v>
      </c>
      <c r="M1134">
        <v>110</v>
      </c>
      <c r="P1134" t="s">
        <v>78</v>
      </c>
      <c r="Q1134" s="55">
        <v>98.181818181818173</v>
      </c>
      <c r="R1134" s="32">
        <v>54</v>
      </c>
      <c r="S1134" s="33">
        <v>0.33</v>
      </c>
      <c r="T1134" s="34">
        <f t="shared" si="37"/>
        <v>80.597014925373145</v>
      </c>
      <c r="U1134" s="34">
        <f t="shared" si="38"/>
        <v>81.604477611940311</v>
      </c>
      <c r="V1134" t="s">
        <v>79</v>
      </c>
      <c r="W1134" s="32">
        <v>15</v>
      </c>
      <c r="X1134" s="32" t="s">
        <v>80</v>
      </c>
      <c r="AD1134" s="1">
        <v>98681654322</v>
      </c>
      <c r="AN1134">
        <v>30</v>
      </c>
      <c r="AO1134" t="s">
        <v>81</v>
      </c>
    </row>
    <row r="1135" spans="1:41" ht="60" x14ac:dyDescent="0.25">
      <c r="A1135" s="2">
        <v>98681654599</v>
      </c>
      <c r="B1135" t="s">
        <v>71</v>
      </c>
      <c r="C1135" t="s">
        <v>72</v>
      </c>
      <c r="D1135" t="s">
        <v>3444</v>
      </c>
      <c r="E1135" t="s">
        <v>3445</v>
      </c>
      <c r="F1135">
        <v>316210</v>
      </c>
      <c r="G1135" s="35" t="s">
        <v>3382</v>
      </c>
      <c r="H1135" s="31" t="s">
        <v>3446</v>
      </c>
      <c r="J1135" t="s">
        <v>77</v>
      </c>
      <c r="M1135">
        <v>110</v>
      </c>
      <c r="P1135" t="s">
        <v>78</v>
      </c>
      <c r="Q1135" s="55">
        <v>98.181818181818173</v>
      </c>
      <c r="R1135" s="32">
        <v>54</v>
      </c>
      <c r="S1135" s="33">
        <v>0.33</v>
      </c>
      <c r="T1135" s="34">
        <f t="shared" si="37"/>
        <v>80.597014925373145</v>
      </c>
      <c r="U1135" s="34">
        <f t="shared" si="38"/>
        <v>81.604477611940311</v>
      </c>
      <c r="V1135" t="s">
        <v>79</v>
      </c>
      <c r="W1135" s="32">
        <v>15</v>
      </c>
      <c r="X1135" s="32" t="s">
        <v>80</v>
      </c>
      <c r="AD1135" s="1">
        <v>98681654599</v>
      </c>
      <c r="AN1135">
        <v>30</v>
      </c>
      <c r="AO1135" t="s">
        <v>81</v>
      </c>
    </row>
    <row r="1136" spans="1:41" ht="60" x14ac:dyDescent="0.25">
      <c r="A1136" s="2">
        <v>98681654339</v>
      </c>
      <c r="B1136" t="s">
        <v>71</v>
      </c>
      <c r="C1136" t="s">
        <v>72</v>
      </c>
      <c r="D1136" t="s">
        <v>3447</v>
      </c>
      <c r="E1136" t="s">
        <v>3448</v>
      </c>
      <c r="F1136">
        <v>316210</v>
      </c>
      <c r="G1136" s="35" t="s">
        <v>3382</v>
      </c>
      <c r="H1136" s="31" t="s">
        <v>3449</v>
      </c>
      <c r="J1136" t="s">
        <v>77</v>
      </c>
      <c r="M1136">
        <v>110</v>
      </c>
      <c r="P1136" t="s">
        <v>78</v>
      </c>
      <c r="Q1136" s="55">
        <v>98.181818181818173</v>
      </c>
      <c r="R1136" s="32">
        <v>54</v>
      </c>
      <c r="S1136" s="33">
        <v>0.33</v>
      </c>
      <c r="T1136" s="34">
        <f t="shared" si="37"/>
        <v>80.597014925373145</v>
      </c>
      <c r="U1136" s="34">
        <f t="shared" si="38"/>
        <v>81.604477611940311</v>
      </c>
      <c r="V1136" t="s">
        <v>79</v>
      </c>
      <c r="W1136" s="32">
        <v>15</v>
      </c>
      <c r="X1136" s="32" t="s">
        <v>80</v>
      </c>
      <c r="AD1136" s="1">
        <v>98681654339</v>
      </c>
      <c r="AN1136">
        <v>30</v>
      </c>
      <c r="AO1136" t="s">
        <v>81</v>
      </c>
    </row>
    <row r="1137" spans="1:41" ht="60" x14ac:dyDescent="0.25">
      <c r="A1137" s="2">
        <v>98681654605</v>
      </c>
      <c r="B1137" t="s">
        <v>71</v>
      </c>
      <c r="C1137" t="s">
        <v>72</v>
      </c>
      <c r="D1137" t="s">
        <v>3450</v>
      </c>
      <c r="E1137" t="s">
        <v>3451</v>
      </c>
      <c r="F1137">
        <v>316210</v>
      </c>
      <c r="G1137" s="35" t="s">
        <v>3382</v>
      </c>
      <c r="H1137" s="31" t="s">
        <v>3452</v>
      </c>
      <c r="J1137" t="s">
        <v>77</v>
      </c>
      <c r="M1137">
        <v>110</v>
      </c>
      <c r="P1137" t="s">
        <v>78</v>
      </c>
      <c r="Q1137" s="55">
        <v>98.181818181818173</v>
      </c>
      <c r="R1137" s="32">
        <v>54</v>
      </c>
      <c r="S1137" s="33">
        <v>0.33</v>
      </c>
      <c r="T1137" s="34">
        <f t="shared" si="37"/>
        <v>80.597014925373145</v>
      </c>
      <c r="U1137" s="34">
        <f t="shared" si="38"/>
        <v>81.604477611940311</v>
      </c>
      <c r="V1137" t="s">
        <v>79</v>
      </c>
      <c r="W1137" s="32">
        <v>15</v>
      </c>
      <c r="X1137" s="32" t="s">
        <v>80</v>
      </c>
      <c r="AD1137" s="1">
        <v>98681654605</v>
      </c>
      <c r="AN1137">
        <v>30</v>
      </c>
      <c r="AO1137" t="s">
        <v>81</v>
      </c>
    </row>
    <row r="1138" spans="1:41" ht="60" x14ac:dyDescent="0.25">
      <c r="A1138" s="2">
        <v>98681654346</v>
      </c>
      <c r="B1138" t="s">
        <v>71</v>
      </c>
      <c r="C1138" t="s">
        <v>72</v>
      </c>
      <c r="D1138" t="s">
        <v>3453</v>
      </c>
      <c r="E1138" t="s">
        <v>3454</v>
      </c>
      <c r="F1138">
        <v>316210</v>
      </c>
      <c r="G1138" s="35" t="s">
        <v>3382</v>
      </c>
      <c r="H1138" s="31" t="s">
        <v>3455</v>
      </c>
      <c r="J1138" t="s">
        <v>77</v>
      </c>
      <c r="M1138">
        <v>110</v>
      </c>
      <c r="P1138" t="s">
        <v>78</v>
      </c>
      <c r="Q1138" s="55">
        <v>98.181818181818173</v>
      </c>
      <c r="R1138" s="32">
        <v>54</v>
      </c>
      <c r="S1138" s="33">
        <v>0.33</v>
      </c>
      <c r="T1138" s="34">
        <f t="shared" si="37"/>
        <v>80.597014925373145</v>
      </c>
      <c r="U1138" s="34">
        <f t="shared" si="38"/>
        <v>81.604477611940311</v>
      </c>
      <c r="V1138" t="s">
        <v>79</v>
      </c>
      <c r="W1138" s="32">
        <v>15</v>
      </c>
      <c r="X1138" s="32" t="s">
        <v>80</v>
      </c>
      <c r="AD1138" s="1">
        <v>98681654346</v>
      </c>
      <c r="AN1138">
        <v>30</v>
      </c>
      <c r="AO1138" t="s">
        <v>81</v>
      </c>
    </row>
    <row r="1139" spans="1:41" ht="60" x14ac:dyDescent="0.25">
      <c r="A1139" s="2">
        <v>98681654612</v>
      </c>
      <c r="B1139" t="s">
        <v>71</v>
      </c>
      <c r="C1139" t="s">
        <v>72</v>
      </c>
      <c r="D1139" t="s">
        <v>3456</v>
      </c>
      <c r="E1139" t="s">
        <v>3457</v>
      </c>
      <c r="F1139">
        <v>316210</v>
      </c>
      <c r="G1139" s="35" t="s">
        <v>3382</v>
      </c>
      <c r="H1139" s="31" t="s">
        <v>3458</v>
      </c>
      <c r="J1139" t="s">
        <v>77</v>
      </c>
      <c r="M1139">
        <v>110</v>
      </c>
      <c r="P1139" t="s">
        <v>78</v>
      </c>
      <c r="Q1139" s="55">
        <v>98.181818181818173</v>
      </c>
      <c r="R1139" s="32">
        <v>54</v>
      </c>
      <c r="S1139" s="33">
        <v>0.33</v>
      </c>
      <c r="T1139" s="34">
        <f t="shared" si="37"/>
        <v>80.597014925373145</v>
      </c>
      <c r="U1139" s="34">
        <f t="shared" si="38"/>
        <v>81.604477611940311</v>
      </c>
      <c r="V1139" t="s">
        <v>79</v>
      </c>
      <c r="W1139" s="32">
        <v>15</v>
      </c>
      <c r="X1139" s="32" t="s">
        <v>80</v>
      </c>
      <c r="AD1139" s="1">
        <v>98681654612</v>
      </c>
      <c r="AN1139">
        <v>30</v>
      </c>
      <c r="AO1139" t="s">
        <v>81</v>
      </c>
    </row>
    <row r="1140" spans="1:41" ht="60" x14ac:dyDescent="0.25">
      <c r="A1140" s="2">
        <v>98681654353</v>
      </c>
      <c r="B1140" t="s">
        <v>71</v>
      </c>
      <c r="C1140" t="s">
        <v>72</v>
      </c>
      <c r="D1140" t="s">
        <v>3459</v>
      </c>
      <c r="E1140" t="s">
        <v>3460</v>
      </c>
      <c r="F1140">
        <v>316210</v>
      </c>
      <c r="G1140" s="35" t="s">
        <v>3382</v>
      </c>
      <c r="H1140" s="31" t="s">
        <v>3461</v>
      </c>
      <c r="J1140" t="s">
        <v>77</v>
      </c>
      <c r="M1140">
        <v>110</v>
      </c>
      <c r="P1140" t="s">
        <v>78</v>
      </c>
      <c r="Q1140" s="55">
        <v>98.181818181818173</v>
      </c>
      <c r="R1140" s="32">
        <v>54</v>
      </c>
      <c r="S1140" s="33">
        <v>0.33</v>
      </c>
      <c r="T1140" s="34">
        <f t="shared" si="37"/>
        <v>80.597014925373145</v>
      </c>
      <c r="U1140" s="34">
        <f t="shared" si="38"/>
        <v>81.604477611940311</v>
      </c>
      <c r="V1140" t="s">
        <v>79</v>
      </c>
      <c r="W1140" s="32">
        <v>15</v>
      </c>
      <c r="X1140" s="32" t="s">
        <v>80</v>
      </c>
      <c r="AD1140" s="1">
        <v>98681654353</v>
      </c>
      <c r="AN1140">
        <v>30</v>
      </c>
      <c r="AO1140" t="s">
        <v>81</v>
      </c>
    </row>
    <row r="1141" spans="1:41" ht="60" x14ac:dyDescent="0.25">
      <c r="A1141" s="2">
        <v>98681654629</v>
      </c>
      <c r="B1141" t="s">
        <v>71</v>
      </c>
      <c r="C1141" t="s">
        <v>72</v>
      </c>
      <c r="D1141" t="s">
        <v>3462</v>
      </c>
      <c r="E1141" t="s">
        <v>3463</v>
      </c>
      <c r="F1141">
        <v>316210</v>
      </c>
      <c r="G1141" s="35" t="s">
        <v>3382</v>
      </c>
      <c r="H1141" s="31" t="s">
        <v>3464</v>
      </c>
      <c r="J1141" t="s">
        <v>77</v>
      </c>
      <c r="M1141">
        <v>110</v>
      </c>
      <c r="P1141" t="s">
        <v>78</v>
      </c>
      <c r="Q1141" s="55">
        <v>98.181818181818173</v>
      </c>
      <c r="R1141" s="32">
        <v>54</v>
      </c>
      <c r="S1141" s="33">
        <v>0.33</v>
      </c>
      <c r="T1141" s="34">
        <f t="shared" si="37"/>
        <v>80.597014925373145</v>
      </c>
      <c r="U1141" s="34">
        <f t="shared" si="38"/>
        <v>81.604477611940311</v>
      </c>
      <c r="V1141" t="s">
        <v>79</v>
      </c>
      <c r="W1141" s="32">
        <v>15</v>
      </c>
      <c r="X1141" s="32" t="s">
        <v>80</v>
      </c>
      <c r="AD1141" s="1">
        <v>98681654629</v>
      </c>
      <c r="AN1141">
        <v>30</v>
      </c>
      <c r="AO1141" t="s">
        <v>81</v>
      </c>
    </row>
    <row r="1142" spans="1:41" ht="60" x14ac:dyDescent="0.25">
      <c r="A1142" s="2">
        <v>98681654360</v>
      </c>
      <c r="B1142" t="s">
        <v>71</v>
      </c>
      <c r="C1142" t="s">
        <v>72</v>
      </c>
      <c r="D1142" t="s">
        <v>3465</v>
      </c>
      <c r="E1142" t="s">
        <v>3466</v>
      </c>
      <c r="F1142">
        <v>316210</v>
      </c>
      <c r="G1142" s="35" t="s">
        <v>3382</v>
      </c>
      <c r="H1142" s="31" t="s">
        <v>3467</v>
      </c>
      <c r="J1142" t="s">
        <v>77</v>
      </c>
      <c r="M1142">
        <v>110</v>
      </c>
      <c r="P1142" t="s">
        <v>78</v>
      </c>
      <c r="Q1142" s="55">
        <v>98.181818181818173</v>
      </c>
      <c r="R1142" s="32">
        <v>54</v>
      </c>
      <c r="S1142" s="33">
        <v>0.33</v>
      </c>
      <c r="T1142" s="34">
        <f t="shared" si="37"/>
        <v>80.597014925373145</v>
      </c>
      <c r="U1142" s="34">
        <f t="shared" si="38"/>
        <v>81.604477611940311</v>
      </c>
      <c r="V1142" t="s">
        <v>79</v>
      </c>
      <c r="W1142" s="32">
        <v>15</v>
      </c>
      <c r="X1142" s="32" t="s">
        <v>80</v>
      </c>
      <c r="AD1142" s="1">
        <v>98681654360</v>
      </c>
      <c r="AN1142">
        <v>30</v>
      </c>
      <c r="AO1142" t="s">
        <v>81</v>
      </c>
    </row>
    <row r="1143" spans="1:41" ht="60" x14ac:dyDescent="0.25">
      <c r="A1143" s="2">
        <v>98681654636</v>
      </c>
      <c r="B1143" t="s">
        <v>71</v>
      </c>
      <c r="C1143" t="s">
        <v>72</v>
      </c>
      <c r="D1143" t="s">
        <v>3468</v>
      </c>
      <c r="E1143" t="s">
        <v>3469</v>
      </c>
      <c r="F1143">
        <v>316210</v>
      </c>
      <c r="G1143" s="35" t="s">
        <v>3382</v>
      </c>
      <c r="H1143" s="31" t="s">
        <v>3470</v>
      </c>
      <c r="J1143" t="s">
        <v>77</v>
      </c>
      <c r="M1143">
        <v>110</v>
      </c>
      <c r="P1143" t="s">
        <v>78</v>
      </c>
      <c r="Q1143" s="55">
        <v>98.181818181818173</v>
      </c>
      <c r="R1143" s="32">
        <v>54</v>
      </c>
      <c r="S1143" s="33">
        <v>0.33</v>
      </c>
      <c r="T1143" s="34">
        <f t="shared" si="37"/>
        <v>80.597014925373145</v>
      </c>
      <c r="U1143" s="34">
        <f t="shared" si="38"/>
        <v>81.604477611940311</v>
      </c>
      <c r="V1143" t="s">
        <v>79</v>
      </c>
      <c r="W1143" s="32">
        <v>15</v>
      </c>
      <c r="X1143" s="32" t="s">
        <v>80</v>
      </c>
      <c r="AD1143" s="1">
        <v>98681654636</v>
      </c>
      <c r="AN1143">
        <v>30</v>
      </c>
      <c r="AO1143" t="s">
        <v>81</v>
      </c>
    </row>
    <row r="1144" spans="1:41" ht="60" x14ac:dyDescent="0.25">
      <c r="A1144" s="2">
        <v>98681654377</v>
      </c>
      <c r="B1144" t="s">
        <v>71</v>
      </c>
      <c r="C1144" t="s">
        <v>72</v>
      </c>
      <c r="D1144" t="s">
        <v>3471</v>
      </c>
      <c r="E1144" t="s">
        <v>3472</v>
      </c>
      <c r="F1144">
        <v>316210</v>
      </c>
      <c r="G1144" s="35" t="s">
        <v>3382</v>
      </c>
      <c r="H1144" s="31" t="s">
        <v>3473</v>
      </c>
      <c r="J1144" t="s">
        <v>77</v>
      </c>
      <c r="M1144">
        <v>110</v>
      </c>
      <c r="P1144" t="s">
        <v>78</v>
      </c>
      <c r="Q1144" s="55">
        <v>98.181818181818173</v>
      </c>
      <c r="R1144" s="32">
        <v>54</v>
      </c>
      <c r="S1144" s="33">
        <v>0.33</v>
      </c>
      <c r="T1144" s="34">
        <f t="shared" si="37"/>
        <v>80.597014925373145</v>
      </c>
      <c r="U1144" s="34">
        <f t="shared" si="38"/>
        <v>81.604477611940311</v>
      </c>
      <c r="V1144" t="s">
        <v>79</v>
      </c>
      <c r="W1144" s="32">
        <v>15</v>
      </c>
      <c r="X1144" s="32" t="s">
        <v>80</v>
      </c>
      <c r="AD1144" s="1">
        <v>98681654377</v>
      </c>
      <c r="AN1144">
        <v>30</v>
      </c>
      <c r="AO1144" t="s">
        <v>81</v>
      </c>
    </row>
    <row r="1145" spans="1:41" ht="60" x14ac:dyDescent="0.25">
      <c r="A1145" s="2">
        <v>98681654643</v>
      </c>
      <c r="B1145" t="s">
        <v>71</v>
      </c>
      <c r="C1145" t="s">
        <v>72</v>
      </c>
      <c r="D1145" t="s">
        <v>3474</v>
      </c>
      <c r="E1145" t="s">
        <v>3475</v>
      </c>
      <c r="F1145">
        <v>316210</v>
      </c>
      <c r="G1145" s="35" t="s">
        <v>3382</v>
      </c>
      <c r="H1145" s="31" t="s">
        <v>3476</v>
      </c>
      <c r="J1145" t="s">
        <v>77</v>
      </c>
      <c r="M1145">
        <v>110</v>
      </c>
      <c r="P1145" t="s">
        <v>78</v>
      </c>
      <c r="Q1145" s="55">
        <v>98.181818181818173</v>
      </c>
      <c r="R1145" s="32">
        <v>54</v>
      </c>
      <c r="S1145" s="33">
        <v>0.33</v>
      </c>
      <c r="T1145" s="34">
        <f t="shared" si="37"/>
        <v>80.597014925373145</v>
      </c>
      <c r="U1145" s="34">
        <f t="shared" si="38"/>
        <v>81.604477611940311</v>
      </c>
      <c r="V1145" t="s">
        <v>79</v>
      </c>
      <c r="W1145" s="32">
        <v>15</v>
      </c>
      <c r="X1145" s="32" t="s">
        <v>80</v>
      </c>
      <c r="AD1145" s="1">
        <v>98681654643</v>
      </c>
      <c r="AN1145">
        <v>30</v>
      </c>
      <c r="AO1145" t="s">
        <v>81</v>
      </c>
    </row>
    <row r="1146" spans="1:41" ht="60" x14ac:dyDescent="0.25">
      <c r="A1146" s="2">
        <v>98681654384</v>
      </c>
      <c r="B1146" t="s">
        <v>71</v>
      </c>
      <c r="C1146" t="s">
        <v>72</v>
      </c>
      <c r="D1146" t="s">
        <v>3477</v>
      </c>
      <c r="E1146" t="s">
        <v>3478</v>
      </c>
      <c r="F1146">
        <v>316210</v>
      </c>
      <c r="G1146" s="35" t="s">
        <v>3382</v>
      </c>
      <c r="H1146" s="31" t="s">
        <v>3479</v>
      </c>
      <c r="J1146" t="s">
        <v>77</v>
      </c>
      <c r="M1146">
        <v>110</v>
      </c>
      <c r="P1146" t="s">
        <v>78</v>
      </c>
      <c r="Q1146" s="55">
        <v>98.181818181818173</v>
      </c>
      <c r="R1146" s="32">
        <v>54</v>
      </c>
      <c r="S1146" s="33">
        <v>0.33</v>
      </c>
      <c r="T1146" s="34">
        <f t="shared" si="37"/>
        <v>80.597014925373145</v>
      </c>
      <c r="U1146" s="34">
        <f t="shared" si="38"/>
        <v>81.604477611940311</v>
      </c>
      <c r="V1146" t="s">
        <v>79</v>
      </c>
      <c r="W1146" s="32">
        <v>15</v>
      </c>
      <c r="X1146" s="32" t="s">
        <v>80</v>
      </c>
      <c r="AD1146" s="1">
        <v>98681654384</v>
      </c>
      <c r="AN1146">
        <v>30</v>
      </c>
      <c r="AO1146" t="s">
        <v>81</v>
      </c>
    </row>
    <row r="1147" spans="1:41" ht="60" x14ac:dyDescent="0.25">
      <c r="A1147" s="2">
        <v>635841381553</v>
      </c>
      <c r="B1147" t="s">
        <v>71</v>
      </c>
      <c r="C1147" t="s">
        <v>72</v>
      </c>
      <c r="D1147" t="s">
        <v>3480</v>
      </c>
      <c r="E1147" t="s">
        <v>3481</v>
      </c>
      <c r="F1147">
        <v>316210</v>
      </c>
      <c r="G1147" s="35" t="s">
        <v>3382</v>
      </c>
      <c r="H1147" s="31" t="s">
        <v>3482</v>
      </c>
      <c r="J1147" t="s">
        <v>77</v>
      </c>
      <c r="M1147">
        <v>110</v>
      </c>
      <c r="P1147" t="s">
        <v>78</v>
      </c>
      <c r="Q1147" s="55">
        <v>98.181818181818173</v>
      </c>
      <c r="R1147" s="32">
        <v>54</v>
      </c>
      <c r="S1147" s="33">
        <v>0.33</v>
      </c>
      <c r="T1147" s="34">
        <f t="shared" si="37"/>
        <v>80.597014925373145</v>
      </c>
      <c r="U1147" s="34">
        <f t="shared" si="38"/>
        <v>81.604477611940311</v>
      </c>
      <c r="V1147" t="s">
        <v>79</v>
      </c>
      <c r="W1147" s="32">
        <v>15</v>
      </c>
      <c r="X1147" s="32" t="s">
        <v>80</v>
      </c>
      <c r="AD1147" s="1">
        <v>635841381553</v>
      </c>
      <c r="AN1147">
        <v>30</v>
      </c>
      <c r="AO1147" t="s">
        <v>81</v>
      </c>
    </row>
    <row r="1148" spans="1:41" ht="60" x14ac:dyDescent="0.25">
      <c r="A1148" s="2">
        <v>635841381539</v>
      </c>
      <c r="B1148" t="s">
        <v>71</v>
      </c>
      <c r="C1148" t="s">
        <v>72</v>
      </c>
      <c r="D1148" t="s">
        <v>3483</v>
      </c>
      <c r="E1148" t="s">
        <v>3484</v>
      </c>
      <c r="F1148">
        <v>316210</v>
      </c>
      <c r="G1148" s="35" t="s">
        <v>3382</v>
      </c>
      <c r="H1148" s="31" t="s">
        <v>3485</v>
      </c>
      <c r="J1148" t="s">
        <v>77</v>
      </c>
      <c r="M1148">
        <v>110</v>
      </c>
      <c r="P1148" t="s">
        <v>78</v>
      </c>
      <c r="Q1148" s="55">
        <v>98.181818181818173</v>
      </c>
      <c r="R1148" s="32">
        <v>54</v>
      </c>
      <c r="S1148" s="33">
        <v>0.33</v>
      </c>
      <c r="T1148" s="34">
        <f t="shared" si="37"/>
        <v>80.597014925373145</v>
      </c>
      <c r="U1148" s="34">
        <f t="shared" si="38"/>
        <v>81.604477611940311</v>
      </c>
      <c r="V1148" t="s">
        <v>79</v>
      </c>
      <c r="W1148" s="32">
        <v>15</v>
      </c>
      <c r="X1148" s="32" t="s">
        <v>80</v>
      </c>
      <c r="AD1148" s="1">
        <v>635841381539</v>
      </c>
      <c r="AN1148">
        <v>30</v>
      </c>
      <c r="AO1148" t="s">
        <v>81</v>
      </c>
    </row>
    <row r="1149" spans="1:41" ht="60" x14ac:dyDescent="0.25">
      <c r="A1149" s="2">
        <v>635841381546</v>
      </c>
      <c r="B1149" t="s">
        <v>71</v>
      </c>
      <c r="C1149" t="s">
        <v>72</v>
      </c>
      <c r="D1149" t="s">
        <v>3486</v>
      </c>
      <c r="E1149" t="s">
        <v>3487</v>
      </c>
      <c r="F1149">
        <v>316210</v>
      </c>
      <c r="G1149" s="35" t="s">
        <v>3382</v>
      </c>
      <c r="H1149" s="31" t="s">
        <v>3488</v>
      </c>
      <c r="J1149" t="s">
        <v>77</v>
      </c>
      <c r="M1149">
        <v>110</v>
      </c>
      <c r="P1149" t="s">
        <v>78</v>
      </c>
      <c r="Q1149" s="55">
        <v>98.181818181818173</v>
      </c>
      <c r="R1149" s="32">
        <v>54</v>
      </c>
      <c r="S1149" s="33">
        <v>0.33</v>
      </c>
      <c r="T1149" s="34">
        <f t="shared" si="37"/>
        <v>80.597014925373145</v>
      </c>
      <c r="U1149" s="34">
        <f t="shared" si="38"/>
        <v>81.604477611940311</v>
      </c>
      <c r="V1149" t="s">
        <v>79</v>
      </c>
      <c r="W1149" s="32">
        <v>15</v>
      </c>
      <c r="X1149" s="32" t="s">
        <v>80</v>
      </c>
      <c r="AD1149" s="1">
        <v>635841381546</v>
      </c>
      <c r="AN1149">
        <v>30</v>
      </c>
      <c r="AO1149" t="s">
        <v>81</v>
      </c>
    </row>
    <row r="1150" spans="1:41" ht="90" x14ac:dyDescent="0.25">
      <c r="A1150" s="2">
        <v>98681653516</v>
      </c>
      <c r="B1150" t="s">
        <v>71</v>
      </c>
      <c r="C1150" t="s">
        <v>72</v>
      </c>
      <c r="D1150" t="s">
        <v>3489</v>
      </c>
      <c r="E1150" t="s">
        <v>3490</v>
      </c>
      <c r="F1150">
        <v>316210</v>
      </c>
      <c r="G1150" s="35" t="s">
        <v>3491</v>
      </c>
      <c r="H1150" s="31" t="s">
        <v>3492</v>
      </c>
      <c r="J1150" t="s">
        <v>77</v>
      </c>
      <c r="M1150">
        <v>100</v>
      </c>
      <c r="P1150" t="s">
        <v>78</v>
      </c>
      <c r="Q1150" s="55">
        <v>87.272727272727266</v>
      </c>
      <c r="R1150" s="32">
        <v>48</v>
      </c>
      <c r="S1150" s="33">
        <v>0.33</v>
      </c>
      <c r="T1150" s="34">
        <f t="shared" si="37"/>
        <v>71.641791044776127</v>
      </c>
      <c r="U1150" s="34">
        <f t="shared" si="38"/>
        <v>72.53731343283583</v>
      </c>
      <c r="V1150" t="s">
        <v>79</v>
      </c>
      <c r="W1150" s="32">
        <v>15</v>
      </c>
      <c r="X1150" s="32" t="s">
        <v>80</v>
      </c>
      <c r="AD1150" s="1">
        <v>98681653516</v>
      </c>
      <c r="AN1150">
        <v>30</v>
      </c>
      <c r="AO1150" t="s">
        <v>81</v>
      </c>
    </row>
    <row r="1151" spans="1:41" ht="90" x14ac:dyDescent="0.25">
      <c r="A1151" s="2">
        <v>98771367651</v>
      </c>
      <c r="B1151" t="s">
        <v>71</v>
      </c>
      <c r="C1151" t="s">
        <v>72</v>
      </c>
      <c r="D1151" t="s">
        <v>3493</v>
      </c>
      <c r="E1151" t="s">
        <v>3494</v>
      </c>
      <c r="F1151">
        <v>316210</v>
      </c>
      <c r="G1151" s="35" t="s">
        <v>3491</v>
      </c>
      <c r="H1151" s="31" t="s">
        <v>3495</v>
      </c>
      <c r="J1151" t="s">
        <v>77</v>
      </c>
      <c r="M1151">
        <v>100</v>
      </c>
      <c r="P1151" t="s">
        <v>78</v>
      </c>
      <c r="Q1151" s="55">
        <v>87.272727272727266</v>
      </c>
      <c r="R1151" s="32">
        <v>48</v>
      </c>
      <c r="S1151" s="33">
        <v>0.33</v>
      </c>
      <c r="T1151" s="34">
        <f t="shared" si="37"/>
        <v>71.641791044776127</v>
      </c>
      <c r="U1151" s="34">
        <f t="shared" si="38"/>
        <v>72.53731343283583</v>
      </c>
      <c r="V1151" t="s">
        <v>79</v>
      </c>
      <c r="W1151" s="32">
        <v>15</v>
      </c>
      <c r="X1151" s="32" t="s">
        <v>80</v>
      </c>
      <c r="AD1151" s="1">
        <v>98771367651</v>
      </c>
      <c r="AN1151">
        <v>30</v>
      </c>
      <c r="AO1151" t="s">
        <v>81</v>
      </c>
    </row>
    <row r="1152" spans="1:41" ht="90" x14ac:dyDescent="0.25">
      <c r="A1152" s="2">
        <v>98681653523</v>
      </c>
      <c r="B1152" t="s">
        <v>71</v>
      </c>
      <c r="C1152" t="s">
        <v>72</v>
      </c>
      <c r="D1152" t="s">
        <v>3496</v>
      </c>
      <c r="E1152" t="s">
        <v>3497</v>
      </c>
      <c r="F1152">
        <v>316210</v>
      </c>
      <c r="G1152" s="35" t="s">
        <v>3491</v>
      </c>
      <c r="H1152" s="31" t="s">
        <v>3498</v>
      </c>
      <c r="J1152" t="s">
        <v>77</v>
      </c>
      <c r="M1152">
        <v>100</v>
      </c>
      <c r="P1152" t="s">
        <v>78</v>
      </c>
      <c r="Q1152" s="55">
        <v>87.272727272727266</v>
      </c>
      <c r="R1152" s="32">
        <v>48</v>
      </c>
      <c r="S1152" s="33">
        <v>0.33</v>
      </c>
      <c r="T1152" s="34">
        <f t="shared" si="37"/>
        <v>71.641791044776127</v>
      </c>
      <c r="U1152" s="34">
        <f t="shared" si="38"/>
        <v>72.53731343283583</v>
      </c>
      <c r="V1152" t="s">
        <v>79</v>
      </c>
      <c r="W1152" s="32">
        <v>15</v>
      </c>
      <c r="X1152" s="32" t="s">
        <v>80</v>
      </c>
      <c r="AD1152" s="1">
        <v>98681653523</v>
      </c>
      <c r="AN1152">
        <v>30</v>
      </c>
      <c r="AO1152" t="s">
        <v>81</v>
      </c>
    </row>
    <row r="1153" spans="1:41" ht="90" x14ac:dyDescent="0.25">
      <c r="A1153" s="2">
        <v>98771367668</v>
      </c>
      <c r="B1153" t="s">
        <v>71</v>
      </c>
      <c r="C1153" t="s">
        <v>72</v>
      </c>
      <c r="D1153" t="s">
        <v>3499</v>
      </c>
      <c r="E1153" t="s">
        <v>3500</v>
      </c>
      <c r="F1153">
        <v>316210</v>
      </c>
      <c r="G1153" s="35" t="s">
        <v>3491</v>
      </c>
      <c r="H1153" s="31" t="s">
        <v>3501</v>
      </c>
      <c r="J1153" t="s">
        <v>77</v>
      </c>
      <c r="M1153">
        <v>100</v>
      </c>
      <c r="P1153" t="s">
        <v>78</v>
      </c>
      <c r="Q1153" s="55">
        <v>87.272727272727266</v>
      </c>
      <c r="R1153" s="32">
        <v>48</v>
      </c>
      <c r="S1153" s="33">
        <v>0.33</v>
      </c>
      <c r="T1153" s="34">
        <f t="shared" si="37"/>
        <v>71.641791044776127</v>
      </c>
      <c r="U1153" s="34">
        <f t="shared" si="38"/>
        <v>72.53731343283583</v>
      </c>
      <c r="V1153" t="s">
        <v>79</v>
      </c>
      <c r="W1153" s="32">
        <v>15</v>
      </c>
      <c r="X1153" s="32" t="s">
        <v>80</v>
      </c>
      <c r="AD1153" s="1">
        <v>98771367668</v>
      </c>
      <c r="AN1153">
        <v>30</v>
      </c>
      <c r="AO1153" t="s">
        <v>81</v>
      </c>
    </row>
    <row r="1154" spans="1:41" ht="90" x14ac:dyDescent="0.25">
      <c r="A1154" s="2">
        <v>98681653530</v>
      </c>
      <c r="B1154" t="s">
        <v>71</v>
      </c>
      <c r="C1154" t="s">
        <v>72</v>
      </c>
      <c r="D1154" t="s">
        <v>3502</v>
      </c>
      <c r="E1154" t="s">
        <v>3503</v>
      </c>
      <c r="F1154">
        <v>316210</v>
      </c>
      <c r="G1154" s="35" t="s">
        <v>3491</v>
      </c>
      <c r="H1154" s="31" t="s">
        <v>3504</v>
      </c>
      <c r="J1154" t="s">
        <v>77</v>
      </c>
      <c r="M1154">
        <v>100</v>
      </c>
      <c r="P1154" t="s">
        <v>78</v>
      </c>
      <c r="Q1154" s="55">
        <v>87.272727272727266</v>
      </c>
      <c r="R1154" s="32">
        <v>48</v>
      </c>
      <c r="S1154" s="33">
        <v>0.33</v>
      </c>
      <c r="T1154" s="34">
        <f t="shared" si="37"/>
        <v>71.641791044776127</v>
      </c>
      <c r="U1154" s="34">
        <f t="shared" si="38"/>
        <v>72.53731343283583</v>
      </c>
      <c r="V1154" t="s">
        <v>79</v>
      </c>
      <c r="W1154" s="32">
        <v>15</v>
      </c>
      <c r="X1154" s="32" t="s">
        <v>80</v>
      </c>
      <c r="AD1154" s="1">
        <v>98681653530</v>
      </c>
      <c r="AN1154">
        <v>30</v>
      </c>
      <c r="AO1154" t="s">
        <v>81</v>
      </c>
    </row>
    <row r="1155" spans="1:41" ht="90" x14ac:dyDescent="0.25">
      <c r="A1155" s="2">
        <v>98771367675</v>
      </c>
      <c r="B1155" t="s">
        <v>71</v>
      </c>
      <c r="C1155" t="s">
        <v>72</v>
      </c>
      <c r="D1155" t="s">
        <v>3505</v>
      </c>
      <c r="E1155" t="s">
        <v>3506</v>
      </c>
      <c r="F1155">
        <v>316210</v>
      </c>
      <c r="G1155" s="35" t="s">
        <v>3491</v>
      </c>
      <c r="H1155" s="31" t="s">
        <v>3507</v>
      </c>
      <c r="J1155" t="s">
        <v>77</v>
      </c>
      <c r="M1155">
        <v>100</v>
      </c>
      <c r="P1155" t="s">
        <v>78</v>
      </c>
      <c r="Q1155" s="55">
        <v>87.272727272727266</v>
      </c>
      <c r="R1155" s="32">
        <v>48</v>
      </c>
      <c r="S1155" s="33">
        <v>0.33</v>
      </c>
      <c r="T1155" s="34">
        <f t="shared" si="37"/>
        <v>71.641791044776127</v>
      </c>
      <c r="U1155" s="34">
        <f t="shared" si="38"/>
        <v>72.53731343283583</v>
      </c>
      <c r="V1155" t="s">
        <v>79</v>
      </c>
      <c r="W1155" s="32">
        <v>15</v>
      </c>
      <c r="X1155" s="32" t="s">
        <v>80</v>
      </c>
      <c r="AD1155" s="1">
        <v>98771367675</v>
      </c>
      <c r="AN1155">
        <v>30</v>
      </c>
      <c r="AO1155" t="s">
        <v>81</v>
      </c>
    </row>
    <row r="1156" spans="1:41" ht="90" x14ac:dyDescent="0.25">
      <c r="A1156" s="2">
        <v>98681653547</v>
      </c>
      <c r="B1156" t="s">
        <v>71</v>
      </c>
      <c r="C1156" t="s">
        <v>72</v>
      </c>
      <c r="D1156" t="s">
        <v>3508</v>
      </c>
      <c r="E1156" t="s">
        <v>3509</v>
      </c>
      <c r="F1156">
        <v>316210</v>
      </c>
      <c r="G1156" s="35" t="s">
        <v>3491</v>
      </c>
      <c r="H1156" s="31" t="s">
        <v>3510</v>
      </c>
      <c r="J1156" t="s">
        <v>77</v>
      </c>
      <c r="M1156">
        <v>100</v>
      </c>
      <c r="P1156" t="s">
        <v>78</v>
      </c>
      <c r="Q1156" s="55">
        <v>87.272727272727266</v>
      </c>
      <c r="R1156" s="32">
        <v>48</v>
      </c>
      <c r="S1156" s="33">
        <v>0.33</v>
      </c>
      <c r="T1156" s="34">
        <f t="shared" si="37"/>
        <v>71.641791044776127</v>
      </c>
      <c r="U1156" s="34">
        <f t="shared" si="38"/>
        <v>72.53731343283583</v>
      </c>
      <c r="V1156" t="s">
        <v>79</v>
      </c>
      <c r="W1156" s="32">
        <v>15</v>
      </c>
      <c r="X1156" s="32" t="s">
        <v>80</v>
      </c>
      <c r="AD1156" s="1">
        <v>98681653547</v>
      </c>
      <c r="AN1156">
        <v>30</v>
      </c>
      <c r="AO1156" t="s">
        <v>81</v>
      </c>
    </row>
    <row r="1157" spans="1:41" ht="90" x14ac:dyDescent="0.25">
      <c r="A1157" s="2">
        <v>98771367682</v>
      </c>
      <c r="B1157" t="s">
        <v>71</v>
      </c>
      <c r="C1157" t="s">
        <v>72</v>
      </c>
      <c r="D1157" t="s">
        <v>3511</v>
      </c>
      <c r="E1157" t="s">
        <v>3512</v>
      </c>
      <c r="F1157">
        <v>316210</v>
      </c>
      <c r="G1157" s="35" t="s">
        <v>3491</v>
      </c>
      <c r="H1157" s="31" t="s">
        <v>3513</v>
      </c>
      <c r="J1157" t="s">
        <v>77</v>
      </c>
      <c r="M1157">
        <v>100</v>
      </c>
      <c r="P1157" t="s">
        <v>78</v>
      </c>
      <c r="Q1157" s="55">
        <v>87.272727272727266</v>
      </c>
      <c r="R1157" s="32">
        <v>48</v>
      </c>
      <c r="S1157" s="33">
        <v>0.33</v>
      </c>
      <c r="T1157" s="34">
        <f t="shared" si="37"/>
        <v>71.641791044776127</v>
      </c>
      <c r="U1157" s="34">
        <f t="shared" si="38"/>
        <v>72.53731343283583</v>
      </c>
      <c r="V1157" t="s">
        <v>79</v>
      </c>
      <c r="W1157" s="32">
        <v>15</v>
      </c>
      <c r="X1157" s="32" t="s">
        <v>80</v>
      </c>
      <c r="AD1157" s="1">
        <v>98771367682</v>
      </c>
      <c r="AN1157">
        <v>30</v>
      </c>
      <c r="AO1157" t="s">
        <v>81</v>
      </c>
    </row>
    <row r="1158" spans="1:41" ht="90" x14ac:dyDescent="0.25">
      <c r="A1158" s="2">
        <v>98681653554</v>
      </c>
      <c r="B1158" t="s">
        <v>71</v>
      </c>
      <c r="C1158" t="s">
        <v>72</v>
      </c>
      <c r="D1158" t="s">
        <v>3514</v>
      </c>
      <c r="E1158" t="s">
        <v>3515</v>
      </c>
      <c r="F1158">
        <v>316210</v>
      </c>
      <c r="G1158" s="35" t="s">
        <v>3491</v>
      </c>
      <c r="H1158" s="31" t="s">
        <v>3516</v>
      </c>
      <c r="J1158" t="s">
        <v>77</v>
      </c>
      <c r="M1158">
        <v>100</v>
      </c>
      <c r="P1158" t="s">
        <v>78</v>
      </c>
      <c r="Q1158" s="55">
        <v>87.272727272727266</v>
      </c>
      <c r="R1158" s="32">
        <v>48</v>
      </c>
      <c r="S1158" s="33">
        <v>0.33</v>
      </c>
      <c r="T1158" s="34">
        <f t="shared" si="37"/>
        <v>71.641791044776127</v>
      </c>
      <c r="U1158" s="34">
        <f t="shared" si="38"/>
        <v>72.53731343283583</v>
      </c>
      <c r="V1158" t="s">
        <v>79</v>
      </c>
      <c r="W1158" s="32">
        <v>15</v>
      </c>
      <c r="X1158" s="32" t="s">
        <v>80</v>
      </c>
      <c r="AD1158" s="1">
        <v>98681653554</v>
      </c>
      <c r="AN1158">
        <v>30</v>
      </c>
      <c r="AO1158" t="s">
        <v>81</v>
      </c>
    </row>
    <row r="1159" spans="1:41" ht="90" x14ac:dyDescent="0.25">
      <c r="A1159" s="2">
        <v>98771367699</v>
      </c>
      <c r="B1159" t="s">
        <v>71</v>
      </c>
      <c r="C1159" t="s">
        <v>72</v>
      </c>
      <c r="D1159" t="s">
        <v>3517</v>
      </c>
      <c r="E1159" t="s">
        <v>3518</v>
      </c>
      <c r="F1159">
        <v>316210</v>
      </c>
      <c r="G1159" s="35" t="s">
        <v>3491</v>
      </c>
      <c r="H1159" s="31" t="s">
        <v>3519</v>
      </c>
      <c r="J1159" t="s">
        <v>77</v>
      </c>
      <c r="M1159">
        <v>100</v>
      </c>
      <c r="P1159" t="s">
        <v>78</v>
      </c>
      <c r="Q1159" s="55">
        <v>87.272727272727266</v>
      </c>
      <c r="R1159" s="32">
        <v>48</v>
      </c>
      <c r="S1159" s="33">
        <v>0.33</v>
      </c>
      <c r="T1159" s="34">
        <f t="shared" si="37"/>
        <v>71.641791044776127</v>
      </c>
      <c r="U1159" s="34">
        <f t="shared" si="38"/>
        <v>72.53731343283583</v>
      </c>
      <c r="V1159" t="s">
        <v>79</v>
      </c>
      <c r="W1159" s="32">
        <v>15</v>
      </c>
      <c r="X1159" s="32" t="s">
        <v>80</v>
      </c>
      <c r="AD1159" s="1">
        <v>98771367699</v>
      </c>
      <c r="AN1159">
        <v>30</v>
      </c>
      <c r="AO1159" t="s">
        <v>81</v>
      </c>
    </row>
    <row r="1160" spans="1:41" ht="90" x14ac:dyDescent="0.25">
      <c r="A1160" s="2">
        <v>98681653561</v>
      </c>
      <c r="B1160" t="s">
        <v>71</v>
      </c>
      <c r="C1160" t="s">
        <v>72</v>
      </c>
      <c r="D1160" t="s">
        <v>3520</v>
      </c>
      <c r="E1160" t="s">
        <v>3521</v>
      </c>
      <c r="F1160">
        <v>316210</v>
      </c>
      <c r="G1160" s="35" t="s">
        <v>3491</v>
      </c>
      <c r="H1160" s="31" t="s">
        <v>3522</v>
      </c>
      <c r="J1160" t="s">
        <v>77</v>
      </c>
      <c r="M1160">
        <v>100</v>
      </c>
      <c r="P1160" t="s">
        <v>78</v>
      </c>
      <c r="Q1160" s="55">
        <v>87.272727272727266</v>
      </c>
      <c r="R1160" s="32">
        <v>48</v>
      </c>
      <c r="S1160" s="33">
        <v>0.33</v>
      </c>
      <c r="T1160" s="34">
        <f t="shared" si="37"/>
        <v>71.641791044776127</v>
      </c>
      <c r="U1160" s="34">
        <f t="shared" si="38"/>
        <v>72.53731343283583</v>
      </c>
      <c r="V1160" t="s">
        <v>79</v>
      </c>
      <c r="W1160" s="32">
        <v>15</v>
      </c>
      <c r="X1160" s="32" t="s">
        <v>80</v>
      </c>
      <c r="AD1160" s="1">
        <v>98681653561</v>
      </c>
      <c r="AN1160">
        <v>30</v>
      </c>
      <c r="AO1160" t="s">
        <v>81</v>
      </c>
    </row>
    <row r="1161" spans="1:41" ht="90" x14ac:dyDescent="0.25">
      <c r="A1161" s="2">
        <v>98771367705</v>
      </c>
      <c r="B1161" t="s">
        <v>71</v>
      </c>
      <c r="C1161" t="s">
        <v>72</v>
      </c>
      <c r="D1161" t="s">
        <v>3523</v>
      </c>
      <c r="E1161" t="s">
        <v>3524</v>
      </c>
      <c r="F1161">
        <v>316210</v>
      </c>
      <c r="G1161" s="35" t="s">
        <v>3491</v>
      </c>
      <c r="H1161" s="31" t="s">
        <v>3525</v>
      </c>
      <c r="J1161" t="s">
        <v>77</v>
      </c>
      <c r="M1161">
        <v>100</v>
      </c>
      <c r="P1161" t="s">
        <v>78</v>
      </c>
      <c r="Q1161" s="55">
        <v>87.272727272727266</v>
      </c>
      <c r="R1161" s="32">
        <v>48</v>
      </c>
      <c r="S1161" s="33">
        <v>0.33</v>
      </c>
      <c r="T1161" s="34">
        <f t="shared" si="37"/>
        <v>71.641791044776127</v>
      </c>
      <c r="U1161" s="34">
        <f t="shared" si="38"/>
        <v>72.53731343283583</v>
      </c>
      <c r="V1161" t="s">
        <v>79</v>
      </c>
      <c r="W1161" s="32">
        <v>15</v>
      </c>
      <c r="X1161" s="32" t="s">
        <v>80</v>
      </c>
      <c r="AD1161" s="1">
        <v>98771367705</v>
      </c>
      <c r="AN1161">
        <v>30</v>
      </c>
      <c r="AO1161" t="s">
        <v>81</v>
      </c>
    </row>
    <row r="1162" spans="1:41" ht="90" x14ac:dyDescent="0.25">
      <c r="A1162" s="2">
        <v>98681653578</v>
      </c>
      <c r="B1162" t="s">
        <v>71</v>
      </c>
      <c r="C1162" t="s">
        <v>72</v>
      </c>
      <c r="D1162" t="s">
        <v>3526</v>
      </c>
      <c r="E1162" t="s">
        <v>3527</v>
      </c>
      <c r="F1162">
        <v>316210</v>
      </c>
      <c r="G1162" s="35" t="s">
        <v>3491</v>
      </c>
      <c r="H1162" s="31" t="s">
        <v>3528</v>
      </c>
      <c r="J1162" t="s">
        <v>77</v>
      </c>
      <c r="M1162">
        <v>100</v>
      </c>
      <c r="P1162" t="s">
        <v>78</v>
      </c>
      <c r="Q1162" s="55">
        <v>87.272727272727266</v>
      </c>
      <c r="R1162" s="32">
        <v>48</v>
      </c>
      <c r="S1162" s="33">
        <v>0.33</v>
      </c>
      <c r="T1162" s="34">
        <f t="shared" si="37"/>
        <v>71.641791044776127</v>
      </c>
      <c r="U1162" s="34">
        <f t="shared" si="38"/>
        <v>72.53731343283583</v>
      </c>
      <c r="V1162" t="s">
        <v>79</v>
      </c>
      <c r="W1162" s="32">
        <v>15</v>
      </c>
      <c r="X1162" s="32" t="s">
        <v>80</v>
      </c>
      <c r="AD1162" s="1">
        <v>98681653578</v>
      </c>
      <c r="AN1162">
        <v>30</v>
      </c>
      <c r="AO1162" t="s">
        <v>81</v>
      </c>
    </row>
    <row r="1163" spans="1:41" ht="90" x14ac:dyDescent="0.25">
      <c r="A1163" s="2">
        <v>98771367712</v>
      </c>
      <c r="B1163" t="s">
        <v>71</v>
      </c>
      <c r="C1163" t="s">
        <v>72</v>
      </c>
      <c r="D1163" t="s">
        <v>3529</v>
      </c>
      <c r="E1163" t="s">
        <v>3530</v>
      </c>
      <c r="F1163">
        <v>316210</v>
      </c>
      <c r="G1163" s="35" t="s">
        <v>3491</v>
      </c>
      <c r="H1163" s="31" t="s">
        <v>3531</v>
      </c>
      <c r="J1163" t="s">
        <v>77</v>
      </c>
      <c r="M1163">
        <v>100</v>
      </c>
      <c r="P1163" t="s">
        <v>78</v>
      </c>
      <c r="Q1163" s="55">
        <v>87.272727272727266</v>
      </c>
      <c r="R1163" s="32">
        <v>48</v>
      </c>
      <c r="S1163" s="33">
        <v>0.33</v>
      </c>
      <c r="T1163" s="34">
        <f t="shared" si="37"/>
        <v>71.641791044776127</v>
      </c>
      <c r="U1163" s="34">
        <f t="shared" si="38"/>
        <v>72.53731343283583</v>
      </c>
      <c r="V1163" t="s">
        <v>79</v>
      </c>
      <c r="W1163" s="32">
        <v>15</v>
      </c>
      <c r="X1163" s="32" t="s">
        <v>80</v>
      </c>
      <c r="AD1163" s="1">
        <v>98771367712</v>
      </c>
      <c r="AN1163">
        <v>30</v>
      </c>
      <c r="AO1163" t="s">
        <v>81</v>
      </c>
    </row>
    <row r="1164" spans="1:41" ht="90" x14ac:dyDescent="0.25">
      <c r="A1164" s="2">
        <v>98681653585</v>
      </c>
      <c r="B1164" t="s">
        <v>71</v>
      </c>
      <c r="C1164" t="s">
        <v>72</v>
      </c>
      <c r="D1164" t="s">
        <v>3532</v>
      </c>
      <c r="E1164" t="s">
        <v>3533</v>
      </c>
      <c r="F1164">
        <v>316210</v>
      </c>
      <c r="G1164" s="35" t="s">
        <v>3491</v>
      </c>
      <c r="H1164" s="31" t="s">
        <v>3534</v>
      </c>
      <c r="J1164" t="s">
        <v>77</v>
      </c>
      <c r="M1164">
        <v>100</v>
      </c>
      <c r="P1164" t="s">
        <v>78</v>
      </c>
      <c r="Q1164" s="55">
        <v>87.272727272727266</v>
      </c>
      <c r="R1164" s="32">
        <v>48</v>
      </c>
      <c r="S1164" s="33">
        <v>0.33</v>
      </c>
      <c r="T1164" s="34">
        <f t="shared" si="37"/>
        <v>71.641791044776127</v>
      </c>
      <c r="U1164" s="34">
        <f t="shared" si="38"/>
        <v>72.53731343283583</v>
      </c>
      <c r="V1164" t="s">
        <v>79</v>
      </c>
      <c r="W1164" s="32">
        <v>15</v>
      </c>
      <c r="X1164" s="32" t="s">
        <v>80</v>
      </c>
      <c r="AD1164" s="1">
        <v>98681653585</v>
      </c>
      <c r="AN1164">
        <v>30</v>
      </c>
      <c r="AO1164" t="s">
        <v>81</v>
      </c>
    </row>
    <row r="1165" spans="1:41" ht="90" x14ac:dyDescent="0.25">
      <c r="A1165" s="2">
        <v>98771367729</v>
      </c>
      <c r="B1165" t="s">
        <v>71</v>
      </c>
      <c r="C1165" t="s">
        <v>72</v>
      </c>
      <c r="D1165" t="s">
        <v>3535</v>
      </c>
      <c r="E1165" t="s">
        <v>3536</v>
      </c>
      <c r="F1165">
        <v>316210</v>
      </c>
      <c r="G1165" s="35" t="s">
        <v>3491</v>
      </c>
      <c r="H1165" s="31" t="s">
        <v>3537</v>
      </c>
      <c r="J1165" t="s">
        <v>77</v>
      </c>
      <c r="M1165">
        <v>100</v>
      </c>
      <c r="P1165" t="s">
        <v>78</v>
      </c>
      <c r="Q1165" s="55">
        <v>87.272727272727266</v>
      </c>
      <c r="R1165" s="32">
        <v>48</v>
      </c>
      <c r="S1165" s="33">
        <v>0.33</v>
      </c>
      <c r="T1165" s="34">
        <f t="shared" si="37"/>
        <v>71.641791044776127</v>
      </c>
      <c r="U1165" s="34">
        <f t="shared" si="38"/>
        <v>72.53731343283583</v>
      </c>
      <c r="V1165" t="s">
        <v>79</v>
      </c>
      <c r="W1165" s="32">
        <v>15</v>
      </c>
      <c r="X1165" s="32" t="s">
        <v>80</v>
      </c>
      <c r="AD1165" s="1">
        <v>98771367729</v>
      </c>
      <c r="AN1165">
        <v>30</v>
      </c>
      <c r="AO1165" t="s">
        <v>81</v>
      </c>
    </row>
    <row r="1166" spans="1:41" ht="90" x14ac:dyDescent="0.25">
      <c r="A1166" s="2">
        <v>98681653592</v>
      </c>
      <c r="B1166" t="s">
        <v>71</v>
      </c>
      <c r="C1166" t="s">
        <v>72</v>
      </c>
      <c r="D1166" t="s">
        <v>3538</v>
      </c>
      <c r="E1166" t="s">
        <v>3539</v>
      </c>
      <c r="F1166">
        <v>316210</v>
      </c>
      <c r="G1166" s="35" t="s">
        <v>3491</v>
      </c>
      <c r="H1166" s="31" t="s">
        <v>3540</v>
      </c>
      <c r="J1166" t="s">
        <v>77</v>
      </c>
      <c r="M1166">
        <v>100</v>
      </c>
      <c r="P1166" t="s">
        <v>78</v>
      </c>
      <c r="Q1166" s="55">
        <v>87.272727272727266</v>
      </c>
      <c r="R1166" s="32">
        <v>48</v>
      </c>
      <c r="S1166" s="33">
        <v>0.33</v>
      </c>
      <c r="T1166" s="34">
        <f t="shared" si="37"/>
        <v>71.641791044776127</v>
      </c>
      <c r="U1166" s="34">
        <f t="shared" si="38"/>
        <v>72.53731343283583</v>
      </c>
      <c r="V1166" t="s">
        <v>79</v>
      </c>
      <c r="W1166" s="32">
        <v>15</v>
      </c>
      <c r="X1166" s="32" t="s">
        <v>80</v>
      </c>
      <c r="AD1166" s="1">
        <v>98681653592</v>
      </c>
      <c r="AN1166">
        <v>30</v>
      </c>
      <c r="AO1166" t="s">
        <v>81</v>
      </c>
    </row>
    <row r="1167" spans="1:41" ht="90" x14ac:dyDescent="0.25">
      <c r="A1167" s="2">
        <v>98771367736</v>
      </c>
      <c r="B1167" t="s">
        <v>71</v>
      </c>
      <c r="C1167" t="s">
        <v>72</v>
      </c>
      <c r="D1167" t="s">
        <v>3541</v>
      </c>
      <c r="E1167" t="s">
        <v>3542</v>
      </c>
      <c r="F1167">
        <v>316210</v>
      </c>
      <c r="G1167" s="35" t="s">
        <v>3491</v>
      </c>
      <c r="H1167" s="31" t="s">
        <v>3543</v>
      </c>
      <c r="J1167" t="s">
        <v>77</v>
      </c>
      <c r="M1167">
        <v>100</v>
      </c>
      <c r="P1167" t="s">
        <v>78</v>
      </c>
      <c r="Q1167" s="55">
        <v>87.272727272727266</v>
      </c>
      <c r="R1167" s="32">
        <v>48</v>
      </c>
      <c r="S1167" s="33">
        <v>0.33</v>
      </c>
      <c r="T1167" s="34">
        <f t="shared" si="37"/>
        <v>71.641791044776127</v>
      </c>
      <c r="U1167" s="34">
        <f t="shared" si="38"/>
        <v>72.53731343283583</v>
      </c>
      <c r="V1167" t="s">
        <v>79</v>
      </c>
      <c r="W1167" s="32">
        <v>15</v>
      </c>
      <c r="X1167" s="32" t="s">
        <v>80</v>
      </c>
      <c r="AD1167" s="1">
        <v>98771367736</v>
      </c>
      <c r="AN1167">
        <v>30</v>
      </c>
      <c r="AO1167" t="s">
        <v>81</v>
      </c>
    </row>
    <row r="1168" spans="1:41" ht="90" x14ac:dyDescent="0.25">
      <c r="A1168" s="2">
        <v>98681653608</v>
      </c>
      <c r="B1168" t="s">
        <v>71</v>
      </c>
      <c r="C1168" t="s">
        <v>72</v>
      </c>
      <c r="D1168" t="s">
        <v>3544</v>
      </c>
      <c r="E1168" t="s">
        <v>3545</v>
      </c>
      <c r="F1168">
        <v>316210</v>
      </c>
      <c r="G1168" s="35" t="s">
        <v>3491</v>
      </c>
      <c r="H1168" s="31" t="s">
        <v>3546</v>
      </c>
      <c r="J1168" t="s">
        <v>77</v>
      </c>
      <c r="M1168">
        <v>100</v>
      </c>
      <c r="P1168" t="s">
        <v>78</v>
      </c>
      <c r="Q1168" s="55">
        <v>87.272727272727266</v>
      </c>
      <c r="R1168" s="32">
        <v>48</v>
      </c>
      <c r="S1168" s="33">
        <v>0.33</v>
      </c>
      <c r="T1168" s="34">
        <f t="shared" si="37"/>
        <v>71.641791044776127</v>
      </c>
      <c r="U1168" s="34">
        <f t="shared" si="38"/>
        <v>72.53731343283583</v>
      </c>
      <c r="V1168" t="s">
        <v>79</v>
      </c>
      <c r="W1168" s="32">
        <v>15</v>
      </c>
      <c r="X1168" s="32" t="s">
        <v>80</v>
      </c>
      <c r="AD1168" s="1">
        <v>98681653608</v>
      </c>
      <c r="AN1168">
        <v>30</v>
      </c>
      <c r="AO1168" t="s">
        <v>81</v>
      </c>
    </row>
    <row r="1169" spans="1:41" ht="90" x14ac:dyDescent="0.25">
      <c r="A1169" s="2">
        <v>98771367743</v>
      </c>
      <c r="B1169" t="s">
        <v>71</v>
      </c>
      <c r="C1169" t="s">
        <v>72</v>
      </c>
      <c r="D1169" t="s">
        <v>3547</v>
      </c>
      <c r="E1169" t="s">
        <v>3548</v>
      </c>
      <c r="F1169">
        <v>316210</v>
      </c>
      <c r="G1169" s="35" t="s">
        <v>3491</v>
      </c>
      <c r="H1169" s="31" t="s">
        <v>3549</v>
      </c>
      <c r="J1169" t="s">
        <v>77</v>
      </c>
      <c r="M1169">
        <v>100</v>
      </c>
      <c r="P1169" t="s">
        <v>78</v>
      </c>
      <c r="Q1169" s="55">
        <v>87.272727272727266</v>
      </c>
      <c r="R1169" s="32">
        <v>48</v>
      </c>
      <c r="S1169" s="33">
        <v>0.33</v>
      </c>
      <c r="T1169" s="34">
        <f t="shared" si="37"/>
        <v>71.641791044776127</v>
      </c>
      <c r="U1169" s="34">
        <f t="shared" si="38"/>
        <v>72.53731343283583</v>
      </c>
      <c r="V1169" t="s">
        <v>79</v>
      </c>
      <c r="W1169" s="32">
        <v>15</v>
      </c>
      <c r="X1169" s="32" t="s">
        <v>80</v>
      </c>
      <c r="AD1169" s="1">
        <v>98771367743</v>
      </c>
      <c r="AN1169">
        <v>30</v>
      </c>
      <c r="AO1169" t="s">
        <v>81</v>
      </c>
    </row>
    <row r="1170" spans="1:41" ht="90" x14ac:dyDescent="0.25">
      <c r="A1170" s="2">
        <v>98681653615</v>
      </c>
      <c r="B1170" t="s">
        <v>71</v>
      </c>
      <c r="C1170" t="s">
        <v>72</v>
      </c>
      <c r="D1170" t="s">
        <v>3550</v>
      </c>
      <c r="E1170" t="s">
        <v>3551</v>
      </c>
      <c r="F1170">
        <v>316210</v>
      </c>
      <c r="G1170" s="35" t="s">
        <v>3491</v>
      </c>
      <c r="H1170" s="31" t="s">
        <v>3552</v>
      </c>
      <c r="J1170" t="s">
        <v>77</v>
      </c>
      <c r="M1170">
        <v>100</v>
      </c>
      <c r="P1170" t="s">
        <v>78</v>
      </c>
      <c r="Q1170" s="55">
        <v>87.272727272727266</v>
      </c>
      <c r="R1170" s="32">
        <v>48</v>
      </c>
      <c r="S1170" s="33">
        <v>0.33</v>
      </c>
      <c r="T1170" s="34">
        <f t="shared" si="37"/>
        <v>71.641791044776127</v>
      </c>
      <c r="U1170" s="34">
        <f t="shared" si="38"/>
        <v>72.53731343283583</v>
      </c>
      <c r="V1170" t="s">
        <v>79</v>
      </c>
      <c r="W1170" s="32">
        <v>15</v>
      </c>
      <c r="X1170" s="32" t="s">
        <v>80</v>
      </c>
      <c r="AD1170" s="1">
        <v>98681653615</v>
      </c>
      <c r="AN1170">
        <v>30</v>
      </c>
      <c r="AO1170" t="s">
        <v>81</v>
      </c>
    </row>
    <row r="1171" spans="1:41" ht="90" x14ac:dyDescent="0.25">
      <c r="A1171" s="2">
        <v>98771367750</v>
      </c>
      <c r="B1171" t="s">
        <v>71</v>
      </c>
      <c r="C1171" t="s">
        <v>72</v>
      </c>
      <c r="D1171" t="s">
        <v>3553</v>
      </c>
      <c r="E1171" t="s">
        <v>3554</v>
      </c>
      <c r="F1171">
        <v>316210</v>
      </c>
      <c r="G1171" s="35" t="s">
        <v>3491</v>
      </c>
      <c r="H1171" s="31" t="s">
        <v>3555</v>
      </c>
      <c r="J1171" t="s">
        <v>77</v>
      </c>
      <c r="M1171">
        <v>100</v>
      </c>
      <c r="P1171" t="s">
        <v>78</v>
      </c>
      <c r="Q1171" s="55">
        <v>87.272727272727266</v>
      </c>
      <c r="R1171" s="32">
        <v>48</v>
      </c>
      <c r="S1171" s="33">
        <v>0.33</v>
      </c>
      <c r="T1171" s="34">
        <f t="shared" si="37"/>
        <v>71.641791044776127</v>
      </c>
      <c r="U1171" s="34">
        <f t="shared" si="38"/>
        <v>72.53731343283583</v>
      </c>
      <c r="V1171" t="s">
        <v>79</v>
      </c>
      <c r="W1171" s="32">
        <v>15</v>
      </c>
      <c r="X1171" s="32" t="s">
        <v>80</v>
      </c>
      <c r="AD1171" s="1">
        <v>98771367750</v>
      </c>
      <c r="AN1171">
        <v>30</v>
      </c>
      <c r="AO1171" t="s">
        <v>81</v>
      </c>
    </row>
    <row r="1172" spans="1:41" ht="90" x14ac:dyDescent="0.25">
      <c r="A1172" s="2">
        <v>98681653622</v>
      </c>
      <c r="B1172" t="s">
        <v>71</v>
      </c>
      <c r="C1172" t="s">
        <v>72</v>
      </c>
      <c r="D1172" t="s">
        <v>3556</v>
      </c>
      <c r="E1172" t="s">
        <v>3557</v>
      </c>
      <c r="F1172">
        <v>316210</v>
      </c>
      <c r="G1172" s="35" t="s">
        <v>3491</v>
      </c>
      <c r="H1172" s="31" t="s">
        <v>3558</v>
      </c>
      <c r="J1172" t="s">
        <v>77</v>
      </c>
      <c r="M1172">
        <v>100</v>
      </c>
      <c r="P1172" t="s">
        <v>78</v>
      </c>
      <c r="Q1172" s="55">
        <v>87.272727272727266</v>
      </c>
      <c r="R1172" s="32">
        <v>48</v>
      </c>
      <c r="S1172" s="33">
        <v>0.33</v>
      </c>
      <c r="T1172" s="34">
        <f t="shared" si="37"/>
        <v>71.641791044776127</v>
      </c>
      <c r="U1172" s="34">
        <f t="shared" si="38"/>
        <v>72.53731343283583</v>
      </c>
      <c r="V1172" t="s">
        <v>79</v>
      </c>
      <c r="W1172" s="32">
        <v>15</v>
      </c>
      <c r="X1172" s="32" t="s">
        <v>80</v>
      </c>
      <c r="AD1172" s="1">
        <v>98681653622</v>
      </c>
      <c r="AN1172">
        <v>30</v>
      </c>
      <c r="AO1172" t="s">
        <v>81</v>
      </c>
    </row>
    <row r="1173" spans="1:41" ht="90" x14ac:dyDescent="0.25">
      <c r="A1173" s="2">
        <v>98771367767</v>
      </c>
      <c r="B1173" t="s">
        <v>71</v>
      </c>
      <c r="C1173" t="s">
        <v>72</v>
      </c>
      <c r="D1173" t="s">
        <v>3559</v>
      </c>
      <c r="E1173" t="s">
        <v>3560</v>
      </c>
      <c r="F1173">
        <v>316210</v>
      </c>
      <c r="G1173" s="35" t="s">
        <v>3491</v>
      </c>
      <c r="H1173" s="31" t="s">
        <v>3561</v>
      </c>
      <c r="J1173" t="s">
        <v>77</v>
      </c>
      <c r="M1173">
        <v>100</v>
      </c>
      <c r="P1173" t="s">
        <v>78</v>
      </c>
      <c r="Q1173" s="55">
        <v>87.272727272727266</v>
      </c>
      <c r="R1173" s="32">
        <v>48</v>
      </c>
      <c r="S1173" s="33">
        <v>0.33</v>
      </c>
      <c r="T1173" s="34">
        <f t="shared" si="37"/>
        <v>71.641791044776127</v>
      </c>
      <c r="U1173" s="34">
        <f t="shared" si="38"/>
        <v>72.53731343283583</v>
      </c>
      <c r="V1173" t="s">
        <v>79</v>
      </c>
      <c r="W1173" s="32">
        <v>15</v>
      </c>
      <c r="X1173" s="32" t="s">
        <v>80</v>
      </c>
      <c r="AD1173" s="1">
        <v>98771367767</v>
      </c>
      <c r="AN1173">
        <v>30</v>
      </c>
      <c r="AO1173" t="s">
        <v>81</v>
      </c>
    </row>
  </sheetData>
  <autoFilter ref="A2:AZ1173" xr:uid="{452EF4E4-FCEC-44C2-A720-ECABA4482F23}"/>
  <mergeCells count="9">
    <mergeCell ref="AN1:AO1"/>
    <mergeCell ref="AP1:AT1"/>
    <mergeCell ref="AU1:AW1"/>
    <mergeCell ref="C1:D1"/>
    <mergeCell ref="G1:I1"/>
    <mergeCell ref="K1:L1"/>
    <mergeCell ref="N1:O1"/>
    <mergeCell ref="T1:U1"/>
    <mergeCell ref="W1:AB1"/>
  </mergeCells>
  <hyperlinks>
    <hyperlink ref="B2" location="Google_Sheet_Link_158867161" display="item_type" xr:uid="{FA622E22-31EF-43A4-876D-4655E0B708FB}"/>
    <hyperlink ref="J2" location="Google_Sheet_Link_1438050475" display="uom" xr:uid="{AB42CB3F-9F12-4505-B6DA-C278A4FFEA5A}"/>
    <hyperlink ref="L2" location="Google_Sheet_Link_321823771" display="quantity_unit_uom" xr:uid="{950CF54D-A67D-40C6-AA9C-BD3687EAA5D3}"/>
    <hyperlink ref="V2" location="Google_Sheet_Link_1223604094" display="country_of_origin" xr:uid="{A20CD802-2E2F-42E9-911A-22A13BA3A6F1}"/>
    <hyperlink ref="X2" location="Google_Sheet_Link_1745463852" display="lead_time_code" xr:uid="{967881CF-0367-4C4D-9EE2-4FCA0EE86251}"/>
    <hyperlink ref="AS2" location="REFERENCE!AD1" display="physical_uom" xr:uid="{5982CF79-E524-4979-B821-B2718CDE9F08}"/>
    <hyperlink ref="AO2" location="REFERENCE!P1" display="warranty_unit_of_time" xr:uid="{D6764D72-D944-43EA-8650-8594CD6EE141}"/>
    <hyperlink ref="F2" location="REFERENCE!A1" display="sin" xr:uid="{293B03CC-5EEF-42BD-B3C6-B9D798D94AD7}"/>
    <hyperlink ref="AU2" location="REFERENCE!AA1" display="product_info_code" xr:uid="{58799945-04EF-4DF8-9461-485840AFB837}"/>
    <hyperlink ref="Y2" location="REFERENCE!M1" display="fob_us" xr:uid="{09E64889-B4C1-4781-B1D6-A941DAC70BA4}"/>
    <hyperlink ref="Z2" location="REFERENCE!M1" display="fob_ak" xr:uid="{0244E9AD-E2A5-4F5C-AB56-B68333E47B42}"/>
    <hyperlink ref="AA2" location="REFERENCE!M1" display="fob_hi" xr:uid="{83835823-631F-4B51-8EA6-86D5F8F282EB}"/>
    <hyperlink ref="AB2" location="REFERENCE!M1" display="fob_pr" xr:uid="{09B00465-C99E-4201-89C0-1BE59FEE59CA}"/>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65812-90CC-4880-905B-D06F595B9DC5}">
  <dimension ref="A1:A1203"/>
  <sheetViews>
    <sheetView workbookViewId="0">
      <selection sqref="A1:A2405"/>
    </sheetView>
  </sheetViews>
  <sheetFormatPr defaultRowHeight="15" x14ac:dyDescent="0.25"/>
  <cols>
    <col min="1" max="1" width="13.140625" bestFit="1" customWidth="1"/>
  </cols>
  <sheetData>
    <row r="1" spans="1:1" x14ac:dyDescent="0.25">
      <c r="A1" s="1">
        <v>195018758651</v>
      </c>
    </row>
    <row r="2" spans="1:1" x14ac:dyDescent="0.25">
      <c r="A2" s="1">
        <v>195018758668</v>
      </c>
    </row>
    <row r="3" spans="1:1" x14ac:dyDescent="0.25">
      <c r="A3" s="1">
        <v>195018758675</v>
      </c>
    </row>
    <row r="4" spans="1:1" x14ac:dyDescent="0.25">
      <c r="A4" s="1">
        <v>195018758682</v>
      </c>
    </row>
    <row r="5" spans="1:1" x14ac:dyDescent="0.25">
      <c r="A5" s="1">
        <v>195018758699</v>
      </c>
    </row>
    <row r="6" spans="1:1" x14ac:dyDescent="0.25">
      <c r="A6" s="1">
        <v>195018758705</v>
      </c>
    </row>
    <row r="7" spans="1:1" x14ac:dyDescent="0.25">
      <c r="A7" s="1">
        <v>195018758712</v>
      </c>
    </row>
    <row r="8" spans="1:1" x14ac:dyDescent="0.25">
      <c r="A8" s="1">
        <v>195018758729</v>
      </c>
    </row>
    <row r="9" spans="1:1" x14ac:dyDescent="0.25">
      <c r="A9" s="1">
        <v>195018758736</v>
      </c>
    </row>
    <row r="10" spans="1:1" x14ac:dyDescent="0.25">
      <c r="A10" s="1">
        <v>195018758514</v>
      </c>
    </row>
    <row r="11" spans="1:1" x14ac:dyDescent="0.25">
      <c r="A11" s="1">
        <v>195018758743</v>
      </c>
    </row>
    <row r="12" spans="1:1" x14ac:dyDescent="0.25">
      <c r="A12" s="1">
        <v>195018758521</v>
      </c>
    </row>
    <row r="13" spans="1:1" x14ac:dyDescent="0.25">
      <c r="A13" s="1">
        <v>195018758750</v>
      </c>
    </row>
    <row r="14" spans="1:1" x14ac:dyDescent="0.25">
      <c r="A14" s="1">
        <v>195018758538</v>
      </c>
    </row>
    <row r="15" spans="1:1" x14ac:dyDescent="0.25">
      <c r="A15" s="1">
        <v>195018758767</v>
      </c>
    </row>
    <row r="16" spans="1:1" x14ac:dyDescent="0.25">
      <c r="A16" s="1">
        <v>195018758545</v>
      </c>
    </row>
    <row r="17" spans="1:1" x14ac:dyDescent="0.25">
      <c r="A17" s="1">
        <v>195018758774</v>
      </c>
    </row>
    <row r="18" spans="1:1" x14ac:dyDescent="0.25">
      <c r="A18" s="1">
        <v>195018758552</v>
      </c>
    </row>
    <row r="19" spans="1:1" x14ac:dyDescent="0.25">
      <c r="A19" s="1">
        <v>195018758781</v>
      </c>
    </row>
    <row r="20" spans="1:1" x14ac:dyDescent="0.25">
      <c r="A20" s="1">
        <v>195018758569</v>
      </c>
    </row>
    <row r="21" spans="1:1" x14ac:dyDescent="0.25">
      <c r="A21" s="1">
        <v>195018758798</v>
      </c>
    </row>
    <row r="22" spans="1:1" x14ac:dyDescent="0.25">
      <c r="A22" s="1">
        <v>195018758576</v>
      </c>
    </row>
    <row r="23" spans="1:1" x14ac:dyDescent="0.25">
      <c r="A23" s="1">
        <v>195018758804</v>
      </c>
    </row>
    <row r="24" spans="1:1" x14ac:dyDescent="0.25">
      <c r="A24" s="1">
        <v>195018758583</v>
      </c>
    </row>
    <row r="25" spans="1:1" x14ac:dyDescent="0.25">
      <c r="A25" s="1">
        <v>195018758811</v>
      </c>
    </row>
    <row r="26" spans="1:1" x14ac:dyDescent="0.25">
      <c r="A26" s="1">
        <v>195018758590</v>
      </c>
    </row>
    <row r="27" spans="1:1" x14ac:dyDescent="0.25">
      <c r="A27" s="1">
        <v>195018758828</v>
      </c>
    </row>
    <row r="28" spans="1:1" x14ac:dyDescent="0.25">
      <c r="A28" s="1">
        <v>195018758606</v>
      </c>
    </row>
    <row r="29" spans="1:1" x14ac:dyDescent="0.25">
      <c r="A29" s="1">
        <v>195018758835</v>
      </c>
    </row>
    <row r="30" spans="1:1" x14ac:dyDescent="0.25">
      <c r="A30" s="1">
        <v>195018758613</v>
      </c>
    </row>
    <row r="31" spans="1:1" x14ac:dyDescent="0.25">
      <c r="A31" s="1">
        <v>195018758842</v>
      </c>
    </row>
    <row r="32" spans="1:1" x14ac:dyDescent="0.25">
      <c r="A32" s="1">
        <v>195018758620</v>
      </c>
    </row>
    <row r="33" spans="1:1" x14ac:dyDescent="0.25">
      <c r="A33" s="1">
        <v>195018758859</v>
      </c>
    </row>
    <row r="34" spans="1:1" x14ac:dyDescent="0.25">
      <c r="A34" s="1">
        <v>195018758637</v>
      </c>
    </row>
    <row r="35" spans="1:1" x14ac:dyDescent="0.25">
      <c r="A35" s="1">
        <v>195018758866</v>
      </c>
    </row>
    <row r="36" spans="1:1" x14ac:dyDescent="0.25">
      <c r="A36" s="1">
        <v>195018758644</v>
      </c>
    </row>
    <row r="37" spans="1:1" x14ac:dyDescent="0.25">
      <c r="A37" s="1">
        <v>195018759016</v>
      </c>
    </row>
    <row r="38" spans="1:1" x14ac:dyDescent="0.25">
      <c r="A38" s="1">
        <v>195018759023</v>
      </c>
    </row>
    <row r="39" spans="1:1" x14ac:dyDescent="0.25">
      <c r="A39" s="1">
        <v>195018759030</v>
      </c>
    </row>
    <row r="40" spans="1:1" x14ac:dyDescent="0.25">
      <c r="A40" s="1">
        <v>195018759047</v>
      </c>
    </row>
    <row r="41" spans="1:1" x14ac:dyDescent="0.25">
      <c r="A41" s="1">
        <v>195018759054</v>
      </c>
    </row>
    <row r="42" spans="1:1" x14ac:dyDescent="0.25">
      <c r="A42" s="1">
        <v>195018759061</v>
      </c>
    </row>
    <row r="43" spans="1:1" x14ac:dyDescent="0.25">
      <c r="A43" s="1">
        <v>195018759078</v>
      </c>
    </row>
    <row r="44" spans="1:1" x14ac:dyDescent="0.25">
      <c r="A44" s="1">
        <v>195018759085</v>
      </c>
    </row>
    <row r="45" spans="1:1" x14ac:dyDescent="0.25">
      <c r="A45" s="1">
        <v>195018759092</v>
      </c>
    </row>
    <row r="46" spans="1:1" x14ac:dyDescent="0.25">
      <c r="A46" s="1">
        <v>195018758873</v>
      </c>
    </row>
    <row r="47" spans="1:1" x14ac:dyDescent="0.25">
      <c r="A47" s="1">
        <v>195018759108</v>
      </c>
    </row>
    <row r="48" spans="1:1" x14ac:dyDescent="0.25">
      <c r="A48" s="1">
        <v>195018758880</v>
      </c>
    </row>
    <row r="49" spans="1:1" x14ac:dyDescent="0.25">
      <c r="A49" s="1">
        <v>195018759115</v>
      </c>
    </row>
    <row r="50" spans="1:1" x14ac:dyDescent="0.25">
      <c r="A50" s="1">
        <v>195018758897</v>
      </c>
    </row>
    <row r="51" spans="1:1" x14ac:dyDescent="0.25">
      <c r="A51" s="1">
        <v>195018759122</v>
      </c>
    </row>
    <row r="52" spans="1:1" x14ac:dyDescent="0.25">
      <c r="A52" s="1">
        <v>195018758903</v>
      </c>
    </row>
    <row r="53" spans="1:1" x14ac:dyDescent="0.25">
      <c r="A53" s="1">
        <v>195018759139</v>
      </c>
    </row>
    <row r="54" spans="1:1" x14ac:dyDescent="0.25">
      <c r="A54" s="1">
        <v>195018758910</v>
      </c>
    </row>
    <row r="55" spans="1:1" x14ac:dyDescent="0.25">
      <c r="A55" s="1">
        <v>195018759146</v>
      </c>
    </row>
    <row r="56" spans="1:1" x14ac:dyDescent="0.25">
      <c r="A56" s="1">
        <v>195018758927</v>
      </c>
    </row>
    <row r="57" spans="1:1" x14ac:dyDescent="0.25">
      <c r="A57" s="1">
        <v>195018759153</v>
      </c>
    </row>
    <row r="58" spans="1:1" x14ac:dyDescent="0.25">
      <c r="A58" s="1">
        <v>195018758934</v>
      </c>
    </row>
    <row r="59" spans="1:1" x14ac:dyDescent="0.25">
      <c r="A59" s="1">
        <v>195018759160</v>
      </c>
    </row>
    <row r="60" spans="1:1" x14ac:dyDescent="0.25">
      <c r="A60" s="1">
        <v>195018758941</v>
      </c>
    </row>
    <row r="61" spans="1:1" x14ac:dyDescent="0.25">
      <c r="A61" s="1">
        <v>195018759177</v>
      </c>
    </row>
    <row r="62" spans="1:1" x14ac:dyDescent="0.25">
      <c r="A62" s="1">
        <v>195018758958</v>
      </c>
    </row>
    <row r="63" spans="1:1" x14ac:dyDescent="0.25">
      <c r="A63" s="1">
        <v>195018759184</v>
      </c>
    </row>
    <row r="64" spans="1:1" x14ac:dyDescent="0.25">
      <c r="A64" s="1">
        <v>195018758965</v>
      </c>
    </row>
    <row r="65" spans="1:1" x14ac:dyDescent="0.25">
      <c r="A65" s="1">
        <v>195018759191</v>
      </c>
    </row>
    <row r="66" spans="1:1" x14ac:dyDescent="0.25">
      <c r="A66" s="1">
        <v>195018758972</v>
      </c>
    </row>
    <row r="67" spans="1:1" x14ac:dyDescent="0.25">
      <c r="A67" s="1">
        <v>195018759207</v>
      </c>
    </row>
    <row r="68" spans="1:1" x14ac:dyDescent="0.25">
      <c r="A68" s="1">
        <v>195018758989</v>
      </c>
    </row>
    <row r="69" spans="1:1" x14ac:dyDescent="0.25">
      <c r="A69" s="1">
        <v>195018759214</v>
      </c>
    </row>
    <row r="70" spans="1:1" x14ac:dyDescent="0.25">
      <c r="A70" s="1">
        <v>195018758996</v>
      </c>
    </row>
    <row r="71" spans="1:1" x14ac:dyDescent="0.25">
      <c r="A71" s="1">
        <v>195018759221</v>
      </c>
    </row>
    <row r="72" spans="1:1" x14ac:dyDescent="0.25">
      <c r="A72" s="1">
        <v>195018759009</v>
      </c>
    </row>
    <row r="73" spans="1:1" x14ac:dyDescent="0.25">
      <c r="A73" s="1">
        <v>195018675774</v>
      </c>
    </row>
    <row r="74" spans="1:1" x14ac:dyDescent="0.25">
      <c r="A74" s="1">
        <v>195018675781</v>
      </c>
    </row>
    <row r="75" spans="1:1" x14ac:dyDescent="0.25">
      <c r="A75" s="1">
        <v>195018675798</v>
      </c>
    </row>
    <row r="76" spans="1:1" x14ac:dyDescent="0.25">
      <c r="A76" s="1">
        <v>195018675804</v>
      </c>
    </row>
    <row r="77" spans="1:1" x14ac:dyDescent="0.25">
      <c r="A77" s="1">
        <v>195018675811</v>
      </c>
    </row>
    <row r="78" spans="1:1" x14ac:dyDescent="0.25">
      <c r="A78" s="1">
        <v>195018675828</v>
      </c>
    </row>
    <row r="79" spans="1:1" x14ac:dyDescent="0.25">
      <c r="A79" s="1">
        <v>195018675835</v>
      </c>
    </row>
    <row r="80" spans="1:1" x14ac:dyDescent="0.25">
      <c r="A80" s="1">
        <v>195018675842</v>
      </c>
    </row>
    <row r="81" spans="1:1" x14ac:dyDescent="0.25">
      <c r="A81" s="1">
        <v>195018675859</v>
      </c>
    </row>
    <row r="82" spans="1:1" x14ac:dyDescent="0.25">
      <c r="A82" s="1">
        <v>195018675637</v>
      </c>
    </row>
    <row r="83" spans="1:1" x14ac:dyDescent="0.25">
      <c r="A83" s="1">
        <v>195018675866</v>
      </c>
    </row>
    <row r="84" spans="1:1" x14ac:dyDescent="0.25">
      <c r="A84" s="1">
        <v>195018675644</v>
      </c>
    </row>
    <row r="85" spans="1:1" x14ac:dyDescent="0.25">
      <c r="A85" s="1">
        <v>195018675873</v>
      </c>
    </row>
    <row r="86" spans="1:1" x14ac:dyDescent="0.25">
      <c r="A86" s="1">
        <v>195018675651</v>
      </c>
    </row>
    <row r="87" spans="1:1" x14ac:dyDescent="0.25">
      <c r="A87" s="1">
        <v>195018675880</v>
      </c>
    </row>
    <row r="88" spans="1:1" x14ac:dyDescent="0.25">
      <c r="A88" s="1">
        <v>195018675668</v>
      </c>
    </row>
    <row r="89" spans="1:1" x14ac:dyDescent="0.25">
      <c r="A89" s="1">
        <v>195018675897</v>
      </c>
    </row>
    <row r="90" spans="1:1" x14ac:dyDescent="0.25">
      <c r="A90" s="1">
        <v>195018675675</v>
      </c>
    </row>
    <row r="91" spans="1:1" x14ac:dyDescent="0.25">
      <c r="A91" s="1">
        <v>195018675903</v>
      </c>
    </row>
    <row r="92" spans="1:1" x14ac:dyDescent="0.25">
      <c r="A92" s="1">
        <v>195018675682</v>
      </c>
    </row>
    <row r="93" spans="1:1" x14ac:dyDescent="0.25">
      <c r="A93" s="1">
        <v>195018675910</v>
      </c>
    </row>
    <row r="94" spans="1:1" x14ac:dyDescent="0.25">
      <c r="A94" s="1">
        <v>195018675699</v>
      </c>
    </row>
    <row r="95" spans="1:1" x14ac:dyDescent="0.25">
      <c r="A95" s="1">
        <v>195018675927</v>
      </c>
    </row>
    <row r="96" spans="1:1" x14ac:dyDescent="0.25">
      <c r="A96" s="1">
        <v>195018675705</v>
      </c>
    </row>
    <row r="97" spans="1:1" x14ac:dyDescent="0.25">
      <c r="A97" s="1">
        <v>195018675934</v>
      </c>
    </row>
    <row r="98" spans="1:1" x14ac:dyDescent="0.25">
      <c r="A98" s="1">
        <v>195018675712</v>
      </c>
    </row>
    <row r="99" spans="1:1" x14ac:dyDescent="0.25">
      <c r="A99" s="1">
        <v>195018675941</v>
      </c>
    </row>
    <row r="100" spans="1:1" x14ac:dyDescent="0.25">
      <c r="A100" s="1">
        <v>195018675729</v>
      </c>
    </row>
    <row r="101" spans="1:1" x14ac:dyDescent="0.25">
      <c r="A101" s="1">
        <v>195018675958</v>
      </c>
    </row>
    <row r="102" spans="1:1" x14ac:dyDescent="0.25">
      <c r="A102" s="1">
        <v>195018675736</v>
      </c>
    </row>
    <row r="103" spans="1:1" x14ac:dyDescent="0.25">
      <c r="A103" s="1">
        <v>195018675965</v>
      </c>
    </row>
    <row r="104" spans="1:1" x14ac:dyDescent="0.25">
      <c r="A104" s="1">
        <v>195018675743</v>
      </c>
    </row>
    <row r="105" spans="1:1" x14ac:dyDescent="0.25">
      <c r="A105" s="1">
        <v>195018675972</v>
      </c>
    </row>
    <row r="106" spans="1:1" x14ac:dyDescent="0.25">
      <c r="A106" s="1">
        <v>195018675750</v>
      </c>
    </row>
    <row r="107" spans="1:1" x14ac:dyDescent="0.25">
      <c r="A107" s="1">
        <v>195018675989</v>
      </c>
    </row>
    <row r="108" spans="1:1" x14ac:dyDescent="0.25">
      <c r="A108" s="1">
        <v>195018675767</v>
      </c>
    </row>
    <row r="109" spans="1:1" x14ac:dyDescent="0.25">
      <c r="A109" s="1">
        <v>194713697449</v>
      </c>
    </row>
    <row r="110" spans="1:1" x14ac:dyDescent="0.25">
      <c r="A110" s="1">
        <v>194713793929</v>
      </c>
    </row>
    <row r="111" spans="1:1" x14ac:dyDescent="0.25">
      <c r="A111" s="1">
        <v>194713697456</v>
      </c>
    </row>
    <row r="112" spans="1:1" x14ac:dyDescent="0.25">
      <c r="A112" s="1">
        <v>194713793936</v>
      </c>
    </row>
    <row r="113" spans="1:1" x14ac:dyDescent="0.25">
      <c r="A113" s="1">
        <v>194713697463</v>
      </c>
    </row>
    <row r="114" spans="1:1" x14ac:dyDescent="0.25">
      <c r="A114" s="1">
        <v>194713793943</v>
      </c>
    </row>
    <row r="115" spans="1:1" x14ac:dyDescent="0.25">
      <c r="A115" s="1">
        <v>194713697470</v>
      </c>
    </row>
    <row r="116" spans="1:1" x14ac:dyDescent="0.25">
      <c r="A116" s="1">
        <v>194713793950</v>
      </c>
    </row>
    <row r="117" spans="1:1" x14ac:dyDescent="0.25">
      <c r="A117" s="1">
        <v>194713697487</v>
      </c>
    </row>
    <row r="118" spans="1:1" x14ac:dyDescent="0.25">
      <c r="A118" s="1">
        <v>194713793967</v>
      </c>
    </row>
    <row r="119" spans="1:1" x14ac:dyDescent="0.25">
      <c r="A119" s="1">
        <v>194713697494</v>
      </c>
    </row>
    <row r="120" spans="1:1" x14ac:dyDescent="0.25">
      <c r="A120" s="1">
        <v>194713793974</v>
      </c>
    </row>
    <row r="121" spans="1:1" x14ac:dyDescent="0.25">
      <c r="A121" s="1">
        <v>194713697500</v>
      </c>
    </row>
    <row r="122" spans="1:1" x14ac:dyDescent="0.25">
      <c r="A122" s="1">
        <v>194713793981</v>
      </c>
    </row>
    <row r="123" spans="1:1" x14ac:dyDescent="0.25">
      <c r="A123" s="1">
        <v>194713697517</v>
      </c>
    </row>
    <row r="124" spans="1:1" x14ac:dyDescent="0.25">
      <c r="A124" s="1">
        <v>194713793998</v>
      </c>
    </row>
    <row r="125" spans="1:1" x14ac:dyDescent="0.25">
      <c r="A125" s="1">
        <v>194713697524</v>
      </c>
    </row>
    <row r="126" spans="1:1" x14ac:dyDescent="0.25">
      <c r="A126" s="1">
        <v>194713794001</v>
      </c>
    </row>
    <row r="127" spans="1:1" x14ac:dyDescent="0.25">
      <c r="A127" s="1">
        <v>194713697531</v>
      </c>
    </row>
    <row r="128" spans="1:1" x14ac:dyDescent="0.25">
      <c r="A128" s="1">
        <v>194713794018</v>
      </c>
    </row>
    <row r="129" spans="1:1" x14ac:dyDescent="0.25">
      <c r="A129" s="1">
        <v>194713697548</v>
      </c>
    </row>
    <row r="130" spans="1:1" x14ac:dyDescent="0.25">
      <c r="A130" s="1">
        <v>194713794025</v>
      </c>
    </row>
    <row r="131" spans="1:1" x14ac:dyDescent="0.25">
      <c r="A131" s="1">
        <v>194713697555</v>
      </c>
    </row>
    <row r="132" spans="1:1" x14ac:dyDescent="0.25">
      <c r="A132" s="1">
        <v>194713794032</v>
      </c>
    </row>
    <row r="133" spans="1:1" x14ac:dyDescent="0.25">
      <c r="A133" s="1">
        <v>194713697562</v>
      </c>
    </row>
    <row r="134" spans="1:1" x14ac:dyDescent="0.25">
      <c r="A134" s="1">
        <v>194713794049</v>
      </c>
    </row>
    <row r="135" spans="1:1" x14ac:dyDescent="0.25">
      <c r="A135" s="1">
        <v>194713697579</v>
      </c>
    </row>
    <row r="136" spans="1:1" x14ac:dyDescent="0.25">
      <c r="A136" s="1">
        <v>194713698118</v>
      </c>
    </row>
    <row r="137" spans="1:1" x14ac:dyDescent="0.25">
      <c r="A137" s="1">
        <v>194713697982</v>
      </c>
    </row>
    <row r="138" spans="1:1" x14ac:dyDescent="0.25">
      <c r="A138" s="1">
        <v>194713698125</v>
      </c>
    </row>
    <row r="139" spans="1:1" x14ac:dyDescent="0.25">
      <c r="A139" s="1">
        <v>194713697999</v>
      </c>
    </row>
    <row r="140" spans="1:1" x14ac:dyDescent="0.25">
      <c r="A140" s="1">
        <v>194713698132</v>
      </c>
    </row>
    <row r="141" spans="1:1" x14ac:dyDescent="0.25">
      <c r="A141" s="1">
        <v>194713698002</v>
      </c>
    </row>
    <row r="142" spans="1:1" x14ac:dyDescent="0.25">
      <c r="A142" s="1">
        <v>194713698149</v>
      </c>
    </row>
    <row r="143" spans="1:1" x14ac:dyDescent="0.25">
      <c r="A143" s="1">
        <v>194713698019</v>
      </c>
    </row>
    <row r="144" spans="1:1" x14ac:dyDescent="0.25">
      <c r="A144" s="1">
        <v>194713698156</v>
      </c>
    </row>
    <row r="145" spans="1:1" x14ac:dyDescent="0.25">
      <c r="A145" s="1">
        <v>194713698026</v>
      </c>
    </row>
    <row r="146" spans="1:1" x14ac:dyDescent="0.25">
      <c r="A146" s="1">
        <v>194713698163</v>
      </c>
    </row>
    <row r="147" spans="1:1" x14ac:dyDescent="0.25">
      <c r="A147" s="1">
        <v>194713698033</v>
      </c>
    </row>
    <row r="148" spans="1:1" x14ac:dyDescent="0.25">
      <c r="A148" s="1">
        <v>194713698170</v>
      </c>
    </row>
    <row r="149" spans="1:1" x14ac:dyDescent="0.25">
      <c r="A149" s="1">
        <v>194713698040</v>
      </c>
    </row>
    <row r="150" spans="1:1" x14ac:dyDescent="0.25">
      <c r="A150" s="1">
        <v>194713698187</v>
      </c>
    </row>
    <row r="151" spans="1:1" x14ac:dyDescent="0.25">
      <c r="A151" s="1">
        <v>194713698057</v>
      </c>
    </row>
    <row r="152" spans="1:1" x14ac:dyDescent="0.25">
      <c r="A152" s="1">
        <v>194713698194</v>
      </c>
    </row>
    <row r="153" spans="1:1" x14ac:dyDescent="0.25">
      <c r="A153" s="1">
        <v>194713698064</v>
      </c>
    </row>
    <row r="154" spans="1:1" x14ac:dyDescent="0.25">
      <c r="A154" s="1">
        <v>194713698200</v>
      </c>
    </row>
    <row r="155" spans="1:1" x14ac:dyDescent="0.25">
      <c r="A155" s="1">
        <v>194713698071</v>
      </c>
    </row>
    <row r="156" spans="1:1" x14ac:dyDescent="0.25">
      <c r="A156" s="1">
        <v>194713698217</v>
      </c>
    </row>
    <row r="157" spans="1:1" x14ac:dyDescent="0.25">
      <c r="A157" s="1">
        <v>194713698088</v>
      </c>
    </row>
    <row r="158" spans="1:1" x14ac:dyDescent="0.25">
      <c r="A158" s="1">
        <v>194713698224</v>
      </c>
    </row>
    <row r="159" spans="1:1" x14ac:dyDescent="0.25">
      <c r="A159" s="1">
        <v>194713698095</v>
      </c>
    </row>
    <row r="160" spans="1:1" x14ac:dyDescent="0.25">
      <c r="A160" s="1">
        <v>194713698231</v>
      </c>
    </row>
    <row r="161" spans="1:1" x14ac:dyDescent="0.25">
      <c r="A161" s="1">
        <v>194713698101</v>
      </c>
    </row>
    <row r="162" spans="1:1" x14ac:dyDescent="0.25">
      <c r="A162" s="1">
        <v>194713698248</v>
      </c>
    </row>
    <row r="163" spans="1:1" x14ac:dyDescent="0.25">
      <c r="A163" s="1">
        <v>18469188627</v>
      </c>
    </row>
    <row r="164" spans="1:1" x14ac:dyDescent="0.25">
      <c r="A164" s="1">
        <v>18469188719</v>
      </c>
    </row>
    <row r="165" spans="1:1" x14ac:dyDescent="0.25">
      <c r="A165" s="1">
        <v>18469188726</v>
      </c>
    </row>
    <row r="166" spans="1:1" x14ac:dyDescent="0.25">
      <c r="A166" s="1">
        <v>18469188733</v>
      </c>
    </row>
    <row r="167" spans="1:1" x14ac:dyDescent="0.25">
      <c r="A167" s="1">
        <v>18469188740</v>
      </c>
    </row>
    <row r="168" spans="1:1" x14ac:dyDescent="0.25">
      <c r="A168" s="1">
        <v>18469188757</v>
      </c>
    </row>
    <row r="169" spans="1:1" x14ac:dyDescent="0.25">
      <c r="A169" s="1">
        <v>18473705926</v>
      </c>
    </row>
    <row r="170" spans="1:1" x14ac:dyDescent="0.25">
      <c r="A170" s="1">
        <v>18473706145</v>
      </c>
    </row>
    <row r="171" spans="1:1" x14ac:dyDescent="0.25">
      <c r="A171" s="1">
        <v>18473705933</v>
      </c>
    </row>
    <row r="172" spans="1:1" x14ac:dyDescent="0.25">
      <c r="A172" s="1">
        <v>18473706152</v>
      </c>
    </row>
    <row r="173" spans="1:1" x14ac:dyDescent="0.25">
      <c r="A173" s="1">
        <v>18473705940</v>
      </c>
    </row>
    <row r="174" spans="1:1" x14ac:dyDescent="0.25">
      <c r="A174" s="1">
        <v>18473706169</v>
      </c>
    </row>
    <row r="175" spans="1:1" x14ac:dyDescent="0.25">
      <c r="A175" s="1">
        <v>18473705957</v>
      </c>
    </row>
    <row r="176" spans="1:1" x14ac:dyDescent="0.25">
      <c r="A176" s="1">
        <v>18473706176</v>
      </c>
    </row>
    <row r="177" spans="1:1" x14ac:dyDescent="0.25">
      <c r="A177" s="1">
        <v>18473705964</v>
      </c>
    </row>
    <row r="178" spans="1:1" x14ac:dyDescent="0.25">
      <c r="A178" s="1">
        <v>18473706183</v>
      </c>
    </row>
    <row r="179" spans="1:1" x14ac:dyDescent="0.25">
      <c r="A179" s="1">
        <v>18473705971</v>
      </c>
    </row>
    <row r="180" spans="1:1" x14ac:dyDescent="0.25">
      <c r="A180" s="1">
        <v>18473706190</v>
      </c>
    </row>
    <row r="181" spans="1:1" x14ac:dyDescent="0.25">
      <c r="A181" s="1">
        <v>18473705988</v>
      </c>
    </row>
    <row r="182" spans="1:1" x14ac:dyDescent="0.25">
      <c r="A182" s="1">
        <v>18473706206</v>
      </c>
    </row>
    <row r="183" spans="1:1" x14ac:dyDescent="0.25">
      <c r="A183" s="1">
        <v>18473705995</v>
      </c>
    </row>
    <row r="184" spans="1:1" x14ac:dyDescent="0.25">
      <c r="A184" s="1">
        <v>18473706213</v>
      </c>
    </row>
    <row r="185" spans="1:1" x14ac:dyDescent="0.25">
      <c r="A185" s="1">
        <v>18473706008</v>
      </c>
    </row>
    <row r="186" spans="1:1" x14ac:dyDescent="0.25">
      <c r="A186" s="1">
        <v>18473706220</v>
      </c>
    </row>
    <row r="187" spans="1:1" x14ac:dyDescent="0.25">
      <c r="A187" s="1">
        <v>18473706107</v>
      </c>
    </row>
    <row r="188" spans="1:1" x14ac:dyDescent="0.25">
      <c r="A188" s="1">
        <v>18473706237</v>
      </c>
    </row>
    <row r="189" spans="1:1" x14ac:dyDescent="0.25">
      <c r="A189" s="1">
        <v>18473706121</v>
      </c>
    </row>
    <row r="190" spans="1:1" x14ac:dyDescent="0.25">
      <c r="A190" s="1">
        <v>18473706244</v>
      </c>
    </row>
    <row r="191" spans="1:1" x14ac:dyDescent="0.25">
      <c r="A191" s="1">
        <v>18473706138</v>
      </c>
    </row>
    <row r="192" spans="1:1" x14ac:dyDescent="0.25">
      <c r="A192" s="1">
        <v>18473706251</v>
      </c>
    </row>
    <row r="193" spans="1:1" x14ac:dyDescent="0.25">
      <c r="A193" s="1">
        <v>18473722701</v>
      </c>
    </row>
    <row r="194" spans="1:1" x14ac:dyDescent="0.25">
      <c r="A194" s="1">
        <v>18473722725</v>
      </c>
    </row>
    <row r="195" spans="1:1" x14ac:dyDescent="0.25">
      <c r="A195" s="1">
        <v>18473722718</v>
      </c>
    </row>
    <row r="196" spans="1:1" x14ac:dyDescent="0.25">
      <c r="A196" s="1">
        <v>886129867140</v>
      </c>
    </row>
    <row r="197" spans="1:1" x14ac:dyDescent="0.25">
      <c r="A197" s="1">
        <v>195021797616</v>
      </c>
    </row>
    <row r="198" spans="1:1" x14ac:dyDescent="0.25">
      <c r="A198" s="1">
        <v>195021789284</v>
      </c>
    </row>
    <row r="199" spans="1:1" x14ac:dyDescent="0.25">
      <c r="A199" s="1">
        <v>195021797623</v>
      </c>
    </row>
    <row r="200" spans="1:1" x14ac:dyDescent="0.25">
      <c r="A200" s="1">
        <v>195021789291</v>
      </c>
    </row>
    <row r="201" spans="1:1" x14ac:dyDescent="0.25">
      <c r="A201" s="1">
        <v>195021797630</v>
      </c>
    </row>
    <row r="202" spans="1:1" x14ac:dyDescent="0.25">
      <c r="A202" s="1">
        <v>195021797500</v>
      </c>
    </row>
    <row r="203" spans="1:1" x14ac:dyDescent="0.25">
      <c r="A203" s="1">
        <v>195021797647</v>
      </c>
    </row>
    <row r="204" spans="1:1" x14ac:dyDescent="0.25">
      <c r="A204" s="1">
        <v>195021797517</v>
      </c>
    </row>
    <row r="205" spans="1:1" x14ac:dyDescent="0.25">
      <c r="A205" s="1">
        <v>195021797654</v>
      </c>
    </row>
    <row r="206" spans="1:1" x14ac:dyDescent="0.25">
      <c r="A206" s="1">
        <v>195021797524</v>
      </c>
    </row>
    <row r="207" spans="1:1" x14ac:dyDescent="0.25">
      <c r="A207" s="1">
        <v>195021797661</v>
      </c>
    </row>
    <row r="208" spans="1:1" x14ac:dyDescent="0.25">
      <c r="A208" s="1">
        <v>195021797531</v>
      </c>
    </row>
    <row r="209" spans="1:1" x14ac:dyDescent="0.25">
      <c r="A209" s="1">
        <v>195021797678</v>
      </c>
    </row>
    <row r="210" spans="1:1" x14ac:dyDescent="0.25">
      <c r="A210" s="1">
        <v>195021797548</v>
      </c>
    </row>
    <row r="211" spans="1:1" x14ac:dyDescent="0.25">
      <c r="A211" s="1">
        <v>195021797685</v>
      </c>
    </row>
    <row r="212" spans="1:1" x14ac:dyDescent="0.25">
      <c r="A212" s="1">
        <v>195021797555</v>
      </c>
    </row>
    <row r="213" spans="1:1" x14ac:dyDescent="0.25">
      <c r="A213" s="1">
        <v>195021797692</v>
      </c>
    </row>
    <row r="214" spans="1:1" x14ac:dyDescent="0.25">
      <c r="A214" s="1">
        <v>195021797562</v>
      </c>
    </row>
    <row r="215" spans="1:1" x14ac:dyDescent="0.25">
      <c r="A215" s="1">
        <v>195021797708</v>
      </c>
    </row>
    <row r="216" spans="1:1" x14ac:dyDescent="0.25">
      <c r="A216" s="1">
        <v>195021797579</v>
      </c>
    </row>
    <row r="217" spans="1:1" x14ac:dyDescent="0.25">
      <c r="A217" s="1">
        <v>195021797715</v>
      </c>
    </row>
    <row r="218" spans="1:1" x14ac:dyDescent="0.25">
      <c r="A218" s="1">
        <v>195021797586</v>
      </c>
    </row>
    <row r="219" spans="1:1" x14ac:dyDescent="0.25">
      <c r="A219" s="1">
        <v>195021797722</v>
      </c>
    </row>
    <row r="220" spans="1:1" x14ac:dyDescent="0.25">
      <c r="A220" s="1">
        <v>195021797593</v>
      </c>
    </row>
    <row r="221" spans="1:1" x14ac:dyDescent="0.25">
      <c r="A221" s="1">
        <v>195021797739</v>
      </c>
    </row>
    <row r="222" spans="1:1" x14ac:dyDescent="0.25">
      <c r="A222" s="1">
        <v>195021797609</v>
      </c>
    </row>
    <row r="223" spans="1:1" x14ac:dyDescent="0.25">
      <c r="A223" s="1">
        <v>40707542373</v>
      </c>
    </row>
    <row r="224" spans="1:1" x14ac:dyDescent="0.25">
      <c r="A224" s="1">
        <v>40707542380</v>
      </c>
    </row>
    <row r="225" spans="1:1" x14ac:dyDescent="0.25">
      <c r="A225" s="1">
        <v>40707542397</v>
      </c>
    </row>
    <row r="226" spans="1:1" x14ac:dyDescent="0.25">
      <c r="A226" s="1">
        <v>40707542403</v>
      </c>
    </row>
    <row r="227" spans="1:1" x14ac:dyDescent="0.25">
      <c r="A227" s="1">
        <v>40707542410</v>
      </c>
    </row>
    <row r="228" spans="1:1" x14ac:dyDescent="0.25">
      <c r="A228" s="1">
        <v>40707542427</v>
      </c>
    </row>
    <row r="229" spans="1:1" x14ac:dyDescent="0.25">
      <c r="A229" s="1">
        <v>98681668084</v>
      </c>
    </row>
    <row r="230" spans="1:1" x14ac:dyDescent="0.25">
      <c r="A230" s="1">
        <v>98681667834</v>
      </c>
    </row>
    <row r="231" spans="1:1" x14ac:dyDescent="0.25">
      <c r="A231" s="1">
        <v>98681668091</v>
      </c>
    </row>
    <row r="232" spans="1:1" x14ac:dyDescent="0.25">
      <c r="A232" s="1">
        <v>98681667841</v>
      </c>
    </row>
    <row r="233" spans="1:1" x14ac:dyDescent="0.25">
      <c r="A233" s="1">
        <v>98681668107</v>
      </c>
    </row>
    <row r="234" spans="1:1" x14ac:dyDescent="0.25">
      <c r="A234" s="1">
        <v>98681667858</v>
      </c>
    </row>
    <row r="235" spans="1:1" x14ac:dyDescent="0.25">
      <c r="A235" s="1">
        <v>98681668114</v>
      </c>
    </row>
    <row r="236" spans="1:1" x14ac:dyDescent="0.25">
      <c r="A236" s="1">
        <v>98681667865</v>
      </c>
    </row>
    <row r="237" spans="1:1" x14ac:dyDescent="0.25">
      <c r="A237" s="1">
        <v>98681668121</v>
      </c>
    </row>
    <row r="238" spans="1:1" x14ac:dyDescent="0.25">
      <c r="A238" s="1">
        <v>98681667872</v>
      </c>
    </row>
    <row r="239" spans="1:1" x14ac:dyDescent="0.25">
      <c r="A239" s="1">
        <v>98681668138</v>
      </c>
    </row>
    <row r="240" spans="1:1" x14ac:dyDescent="0.25">
      <c r="A240" s="1">
        <v>98681667889</v>
      </c>
    </row>
    <row r="241" spans="1:1" x14ac:dyDescent="0.25">
      <c r="A241" s="1">
        <v>98681668145</v>
      </c>
    </row>
    <row r="242" spans="1:1" x14ac:dyDescent="0.25">
      <c r="A242" s="1">
        <v>98681668008</v>
      </c>
    </row>
    <row r="243" spans="1:1" x14ac:dyDescent="0.25">
      <c r="A243" s="1">
        <v>98681668152</v>
      </c>
    </row>
    <row r="244" spans="1:1" x14ac:dyDescent="0.25">
      <c r="A244" s="1">
        <v>98681668022</v>
      </c>
    </row>
    <row r="245" spans="1:1" x14ac:dyDescent="0.25">
      <c r="A245" s="1">
        <v>98681668169</v>
      </c>
    </row>
    <row r="246" spans="1:1" x14ac:dyDescent="0.25">
      <c r="A246" s="1">
        <v>98681668039</v>
      </c>
    </row>
    <row r="247" spans="1:1" x14ac:dyDescent="0.25">
      <c r="A247" s="1">
        <v>98681668176</v>
      </c>
    </row>
    <row r="248" spans="1:1" x14ac:dyDescent="0.25">
      <c r="A248" s="1">
        <v>98681668046</v>
      </c>
    </row>
    <row r="249" spans="1:1" x14ac:dyDescent="0.25">
      <c r="A249" s="1">
        <v>98681668183</v>
      </c>
    </row>
    <row r="250" spans="1:1" x14ac:dyDescent="0.25">
      <c r="A250" s="1">
        <v>98681668053</v>
      </c>
    </row>
    <row r="251" spans="1:1" x14ac:dyDescent="0.25">
      <c r="A251" s="1">
        <v>98681668305</v>
      </c>
    </row>
    <row r="252" spans="1:1" x14ac:dyDescent="0.25">
      <c r="A252" s="1">
        <v>98681668060</v>
      </c>
    </row>
    <row r="253" spans="1:1" x14ac:dyDescent="0.25">
      <c r="A253" s="1">
        <v>98681668329</v>
      </c>
    </row>
    <row r="254" spans="1:1" x14ac:dyDescent="0.25">
      <c r="A254" s="1">
        <v>98681668077</v>
      </c>
    </row>
    <row r="255" spans="1:1" x14ac:dyDescent="0.25">
      <c r="A255" s="1">
        <v>98681668336</v>
      </c>
    </row>
    <row r="256" spans="1:1" x14ac:dyDescent="0.25">
      <c r="A256" s="1">
        <v>886129881634</v>
      </c>
    </row>
    <row r="257" spans="1:1" x14ac:dyDescent="0.25">
      <c r="A257" s="1">
        <v>886129881641</v>
      </c>
    </row>
    <row r="258" spans="1:1" x14ac:dyDescent="0.25">
      <c r="A258" s="1">
        <v>195021762751</v>
      </c>
    </row>
    <row r="259" spans="1:1" x14ac:dyDescent="0.25">
      <c r="A259" s="1">
        <v>195021761426</v>
      </c>
    </row>
    <row r="260" spans="1:1" x14ac:dyDescent="0.25">
      <c r="A260" s="1">
        <v>195021762768</v>
      </c>
    </row>
    <row r="261" spans="1:1" x14ac:dyDescent="0.25">
      <c r="A261" s="1">
        <v>195021761433</v>
      </c>
    </row>
    <row r="262" spans="1:1" x14ac:dyDescent="0.25">
      <c r="A262" s="1">
        <v>195021762775</v>
      </c>
    </row>
    <row r="263" spans="1:1" x14ac:dyDescent="0.25">
      <c r="A263" s="1">
        <v>195021761440</v>
      </c>
    </row>
    <row r="264" spans="1:1" x14ac:dyDescent="0.25">
      <c r="A264" s="1">
        <v>195021762782</v>
      </c>
    </row>
    <row r="265" spans="1:1" x14ac:dyDescent="0.25">
      <c r="A265" s="1">
        <v>195021761457</v>
      </c>
    </row>
    <row r="266" spans="1:1" x14ac:dyDescent="0.25">
      <c r="A266" s="1">
        <v>195021762799</v>
      </c>
    </row>
    <row r="267" spans="1:1" x14ac:dyDescent="0.25">
      <c r="A267" s="1">
        <v>195021761464</v>
      </c>
    </row>
    <row r="268" spans="1:1" x14ac:dyDescent="0.25">
      <c r="A268" s="1">
        <v>195021762805</v>
      </c>
    </row>
    <row r="269" spans="1:1" x14ac:dyDescent="0.25">
      <c r="A269" s="1">
        <v>195021761471</v>
      </c>
    </row>
    <row r="270" spans="1:1" x14ac:dyDescent="0.25">
      <c r="A270" s="1">
        <v>195021762812</v>
      </c>
    </row>
    <row r="271" spans="1:1" x14ac:dyDescent="0.25">
      <c r="A271" s="1">
        <v>195021761488</v>
      </c>
    </row>
    <row r="272" spans="1:1" x14ac:dyDescent="0.25">
      <c r="A272" s="1">
        <v>195021762829</v>
      </c>
    </row>
    <row r="273" spans="1:1" x14ac:dyDescent="0.25">
      <c r="A273" s="1">
        <v>195021761495</v>
      </c>
    </row>
    <row r="274" spans="1:1" x14ac:dyDescent="0.25">
      <c r="A274" s="1">
        <v>195021762836</v>
      </c>
    </row>
    <row r="275" spans="1:1" x14ac:dyDescent="0.25">
      <c r="A275" s="1">
        <v>195021762706</v>
      </c>
    </row>
    <row r="276" spans="1:1" x14ac:dyDescent="0.25">
      <c r="A276" s="1">
        <v>195021762843</v>
      </c>
    </row>
    <row r="277" spans="1:1" x14ac:dyDescent="0.25">
      <c r="A277" s="1">
        <v>195021762713</v>
      </c>
    </row>
    <row r="278" spans="1:1" x14ac:dyDescent="0.25">
      <c r="A278" s="1">
        <v>195021762850</v>
      </c>
    </row>
    <row r="279" spans="1:1" x14ac:dyDescent="0.25">
      <c r="A279" s="1">
        <v>195021762720</v>
      </c>
    </row>
    <row r="280" spans="1:1" x14ac:dyDescent="0.25">
      <c r="A280" s="1">
        <v>195021762867</v>
      </c>
    </row>
    <row r="281" spans="1:1" x14ac:dyDescent="0.25">
      <c r="A281" s="1">
        <v>195021762737</v>
      </c>
    </row>
    <row r="282" spans="1:1" x14ac:dyDescent="0.25">
      <c r="A282" s="1">
        <v>195021762874</v>
      </c>
    </row>
    <row r="283" spans="1:1" x14ac:dyDescent="0.25">
      <c r="A283" s="1">
        <v>195021762744</v>
      </c>
    </row>
    <row r="284" spans="1:1" x14ac:dyDescent="0.25">
      <c r="A284" s="1">
        <v>195021762881</v>
      </c>
    </row>
    <row r="285" spans="1:1" x14ac:dyDescent="0.25">
      <c r="A285" s="1">
        <v>195021763024</v>
      </c>
    </row>
    <row r="286" spans="1:1" x14ac:dyDescent="0.25">
      <c r="A286" s="1">
        <v>195021762898</v>
      </c>
    </row>
    <row r="287" spans="1:1" x14ac:dyDescent="0.25">
      <c r="A287" s="1">
        <v>195021763031</v>
      </c>
    </row>
    <row r="288" spans="1:1" x14ac:dyDescent="0.25">
      <c r="A288" s="1">
        <v>195021762904</v>
      </c>
    </row>
    <row r="289" spans="1:1" x14ac:dyDescent="0.25">
      <c r="A289" s="1">
        <v>195021763048</v>
      </c>
    </row>
    <row r="290" spans="1:1" x14ac:dyDescent="0.25">
      <c r="A290" s="1">
        <v>195021762911</v>
      </c>
    </row>
    <row r="291" spans="1:1" x14ac:dyDescent="0.25">
      <c r="A291" s="1">
        <v>195021763055</v>
      </c>
    </row>
    <row r="292" spans="1:1" x14ac:dyDescent="0.25">
      <c r="A292" s="1">
        <v>195021762928</v>
      </c>
    </row>
    <row r="293" spans="1:1" x14ac:dyDescent="0.25">
      <c r="A293" s="1">
        <v>195021763062</v>
      </c>
    </row>
    <row r="294" spans="1:1" x14ac:dyDescent="0.25">
      <c r="A294" s="1">
        <v>195021762935</v>
      </c>
    </row>
    <row r="295" spans="1:1" x14ac:dyDescent="0.25">
      <c r="A295" s="1">
        <v>195021763079</v>
      </c>
    </row>
    <row r="296" spans="1:1" x14ac:dyDescent="0.25">
      <c r="A296" s="1">
        <v>195021762942</v>
      </c>
    </row>
    <row r="297" spans="1:1" x14ac:dyDescent="0.25">
      <c r="A297" s="1">
        <v>195021763086</v>
      </c>
    </row>
    <row r="298" spans="1:1" x14ac:dyDescent="0.25">
      <c r="A298" s="1">
        <v>195021762959</v>
      </c>
    </row>
    <row r="299" spans="1:1" x14ac:dyDescent="0.25">
      <c r="A299" s="1">
        <v>195021763093</v>
      </c>
    </row>
    <row r="300" spans="1:1" x14ac:dyDescent="0.25">
      <c r="A300" s="1">
        <v>195021762966</v>
      </c>
    </row>
    <row r="301" spans="1:1" x14ac:dyDescent="0.25">
      <c r="A301" s="1">
        <v>195021763109</v>
      </c>
    </row>
    <row r="302" spans="1:1" x14ac:dyDescent="0.25">
      <c r="A302" s="1">
        <v>195021762973</v>
      </c>
    </row>
    <row r="303" spans="1:1" x14ac:dyDescent="0.25">
      <c r="A303" s="1">
        <v>195021763116</v>
      </c>
    </row>
    <row r="304" spans="1:1" x14ac:dyDescent="0.25">
      <c r="A304" s="1">
        <v>195021762980</v>
      </c>
    </row>
    <row r="305" spans="1:1" x14ac:dyDescent="0.25">
      <c r="A305" s="1">
        <v>195021763123</v>
      </c>
    </row>
    <row r="306" spans="1:1" x14ac:dyDescent="0.25">
      <c r="A306" s="1">
        <v>195021762997</v>
      </c>
    </row>
    <row r="307" spans="1:1" x14ac:dyDescent="0.25">
      <c r="A307" s="1">
        <v>195021763130</v>
      </c>
    </row>
    <row r="308" spans="1:1" x14ac:dyDescent="0.25">
      <c r="A308" s="1">
        <v>195021763000</v>
      </c>
    </row>
    <row r="309" spans="1:1" x14ac:dyDescent="0.25">
      <c r="A309" s="1">
        <v>195021763147</v>
      </c>
    </row>
    <row r="310" spans="1:1" x14ac:dyDescent="0.25">
      <c r="A310" s="1">
        <v>195021763017</v>
      </c>
    </row>
    <row r="311" spans="1:1" x14ac:dyDescent="0.25">
      <c r="A311" s="1">
        <v>195021763154</v>
      </c>
    </row>
    <row r="312" spans="1:1" x14ac:dyDescent="0.25">
      <c r="A312" s="1">
        <v>195021763291</v>
      </c>
    </row>
    <row r="313" spans="1:1" x14ac:dyDescent="0.25">
      <c r="A313" s="1">
        <v>195021763161</v>
      </c>
    </row>
    <row r="314" spans="1:1" x14ac:dyDescent="0.25">
      <c r="A314" s="1">
        <v>195021763307</v>
      </c>
    </row>
    <row r="315" spans="1:1" x14ac:dyDescent="0.25">
      <c r="A315" s="1">
        <v>195021763178</v>
      </c>
    </row>
    <row r="316" spans="1:1" x14ac:dyDescent="0.25">
      <c r="A316" s="1">
        <v>195021763314</v>
      </c>
    </row>
    <row r="317" spans="1:1" x14ac:dyDescent="0.25">
      <c r="A317" s="1">
        <v>195021763185</v>
      </c>
    </row>
    <row r="318" spans="1:1" x14ac:dyDescent="0.25">
      <c r="A318" s="1">
        <v>195021763321</v>
      </c>
    </row>
    <row r="319" spans="1:1" x14ac:dyDescent="0.25">
      <c r="A319" s="1">
        <v>195021763192</v>
      </c>
    </row>
    <row r="320" spans="1:1" x14ac:dyDescent="0.25">
      <c r="A320" s="1">
        <v>195021763338</v>
      </c>
    </row>
    <row r="321" spans="1:1" x14ac:dyDescent="0.25">
      <c r="A321" s="1">
        <v>195021763208</v>
      </c>
    </row>
    <row r="322" spans="1:1" x14ac:dyDescent="0.25">
      <c r="A322" s="1">
        <v>195021763345</v>
      </c>
    </row>
    <row r="323" spans="1:1" x14ac:dyDescent="0.25">
      <c r="A323" s="1">
        <v>195021763215</v>
      </c>
    </row>
    <row r="324" spans="1:1" x14ac:dyDescent="0.25">
      <c r="A324" s="1">
        <v>195021763352</v>
      </c>
    </row>
    <row r="325" spans="1:1" x14ac:dyDescent="0.25">
      <c r="A325" s="1">
        <v>195021763222</v>
      </c>
    </row>
    <row r="326" spans="1:1" x14ac:dyDescent="0.25">
      <c r="A326" s="1">
        <v>195021763369</v>
      </c>
    </row>
    <row r="327" spans="1:1" x14ac:dyDescent="0.25">
      <c r="A327" s="1">
        <v>195021763239</v>
      </c>
    </row>
    <row r="328" spans="1:1" x14ac:dyDescent="0.25">
      <c r="A328" s="1">
        <v>195021763376</v>
      </c>
    </row>
    <row r="329" spans="1:1" x14ac:dyDescent="0.25">
      <c r="A329" s="1">
        <v>195021763246</v>
      </c>
    </row>
    <row r="330" spans="1:1" x14ac:dyDescent="0.25">
      <c r="A330" s="1">
        <v>195021763383</v>
      </c>
    </row>
    <row r="331" spans="1:1" x14ac:dyDescent="0.25">
      <c r="A331" s="1">
        <v>195021763253</v>
      </c>
    </row>
    <row r="332" spans="1:1" x14ac:dyDescent="0.25">
      <c r="A332" s="1">
        <v>195021763390</v>
      </c>
    </row>
    <row r="333" spans="1:1" x14ac:dyDescent="0.25">
      <c r="A333" s="1">
        <v>195021763260</v>
      </c>
    </row>
    <row r="334" spans="1:1" x14ac:dyDescent="0.25">
      <c r="A334" s="1">
        <v>195021763406</v>
      </c>
    </row>
    <row r="335" spans="1:1" x14ac:dyDescent="0.25">
      <c r="A335" s="1">
        <v>195021763277</v>
      </c>
    </row>
    <row r="336" spans="1:1" x14ac:dyDescent="0.25">
      <c r="A336" s="1">
        <v>195021763413</v>
      </c>
    </row>
    <row r="337" spans="1:1" x14ac:dyDescent="0.25">
      <c r="A337" s="1">
        <v>195021763284</v>
      </c>
    </row>
    <row r="338" spans="1:1" x14ac:dyDescent="0.25">
      <c r="A338" s="1">
        <v>18469755492</v>
      </c>
    </row>
    <row r="339" spans="1:1" x14ac:dyDescent="0.25">
      <c r="A339" s="1">
        <v>18469755508</v>
      </c>
    </row>
    <row r="340" spans="1:1" x14ac:dyDescent="0.25">
      <c r="A340" s="1">
        <v>18469755621</v>
      </c>
    </row>
    <row r="341" spans="1:1" x14ac:dyDescent="0.25">
      <c r="A341" s="1">
        <v>18469755638</v>
      </c>
    </row>
    <row r="342" spans="1:1" x14ac:dyDescent="0.25">
      <c r="A342" s="1">
        <v>18464229264</v>
      </c>
    </row>
    <row r="343" spans="1:1" x14ac:dyDescent="0.25">
      <c r="A343" s="1">
        <v>18464235166</v>
      </c>
    </row>
    <row r="344" spans="1:1" x14ac:dyDescent="0.25">
      <c r="A344" s="1">
        <v>18464229271</v>
      </c>
    </row>
    <row r="345" spans="1:1" x14ac:dyDescent="0.25">
      <c r="A345" s="1">
        <v>18464235173</v>
      </c>
    </row>
    <row r="346" spans="1:1" x14ac:dyDescent="0.25">
      <c r="A346" s="1">
        <v>18464229288</v>
      </c>
    </row>
    <row r="347" spans="1:1" x14ac:dyDescent="0.25">
      <c r="A347" s="1">
        <v>18464235180</v>
      </c>
    </row>
    <row r="348" spans="1:1" x14ac:dyDescent="0.25">
      <c r="A348" s="1">
        <v>18464229295</v>
      </c>
    </row>
    <row r="349" spans="1:1" x14ac:dyDescent="0.25">
      <c r="A349" s="1">
        <v>18464235197</v>
      </c>
    </row>
    <row r="350" spans="1:1" x14ac:dyDescent="0.25">
      <c r="A350" s="1">
        <v>18464229301</v>
      </c>
    </row>
    <row r="351" spans="1:1" x14ac:dyDescent="0.25">
      <c r="A351" s="1">
        <v>18464235203</v>
      </c>
    </row>
    <row r="352" spans="1:1" x14ac:dyDescent="0.25">
      <c r="A352" s="1">
        <v>18464229318</v>
      </c>
    </row>
    <row r="353" spans="1:1" x14ac:dyDescent="0.25">
      <c r="A353" s="1">
        <v>18464235210</v>
      </c>
    </row>
    <row r="354" spans="1:1" x14ac:dyDescent="0.25">
      <c r="A354" s="1">
        <v>18464229325</v>
      </c>
    </row>
    <row r="355" spans="1:1" x14ac:dyDescent="0.25">
      <c r="A355" s="1">
        <v>18464235227</v>
      </c>
    </row>
    <row r="356" spans="1:1" x14ac:dyDescent="0.25">
      <c r="A356" s="1">
        <v>18464229332</v>
      </c>
    </row>
    <row r="357" spans="1:1" x14ac:dyDescent="0.25">
      <c r="A357" s="1">
        <v>18464235234</v>
      </c>
    </row>
    <row r="358" spans="1:1" x14ac:dyDescent="0.25">
      <c r="A358" s="1">
        <v>18464229349</v>
      </c>
    </row>
    <row r="359" spans="1:1" x14ac:dyDescent="0.25">
      <c r="A359" s="1">
        <v>18464235241</v>
      </c>
    </row>
    <row r="360" spans="1:1" x14ac:dyDescent="0.25">
      <c r="A360" s="1">
        <v>18464229356</v>
      </c>
    </row>
    <row r="361" spans="1:1" x14ac:dyDescent="0.25">
      <c r="A361" s="1">
        <v>18464235258</v>
      </c>
    </row>
    <row r="362" spans="1:1" x14ac:dyDescent="0.25">
      <c r="A362" s="1">
        <v>18464229363</v>
      </c>
    </row>
    <row r="363" spans="1:1" x14ac:dyDescent="0.25">
      <c r="A363" s="1">
        <v>18464235265</v>
      </c>
    </row>
    <row r="364" spans="1:1" x14ac:dyDescent="0.25">
      <c r="A364" s="1">
        <v>18464229370</v>
      </c>
    </row>
    <row r="365" spans="1:1" x14ac:dyDescent="0.25">
      <c r="A365" s="1">
        <v>18464235272</v>
      </c>
    </row>
    <row r="366" spans="1:1" x14ac:dyDescent="0.25">
      <c r="A366" s="1">
        <v>18464229387</v>
      </c>
    </row>
    <row r="367" spans="1:1" x14ac:dyDescent="0.25">
      <c r="A367" s="1">
        <v>18464235289</v>
      </c>
    </row>
    <row r="368" spans="1:1" x14ac:dyDescent="0.25">
      <c r="A368" s="1">
        <v>18464229394</v>
      </c>
    </row>
    <row r="369" spans="1:1" x14ac:dyDescent="0.25">
      <c r="A369" s="1">
        <v>44208793128</v>
      </c>
    </row>
    <row r="370" spans="1:1" x14ac:dyDescent="0.25">
      <c r="A370" s="1">
        <v>194917893739</v>
      </c>
    </row>
    <row r="371" spans="1:1" x14ac:dyDescent="0.25">
      <c r="A371" s="1">
        <v>194917995181</v>
      </c>
    </row>
    <row r="372" spans="1:1" x14ac:dyDescent="0.25">
      <c r="A372" s="1">
        <v>194917893746</v>
      </c>
    </row>
    <row r="373" spans="1:1" x14ac:dyDescent="0.25">
      <c r="A373" s="1">
        <v>194917995198</v>
      </c>
    </row>
    <row r="374" spans="1:1" x14ac:dyDescent="0.25">
      <c r="A374" s="1">
        <v>194917893753</v>
      </c>
    </row>
    <row r="375" spans="1:1" x14ac:dyDescent="0.25">
      <c r="A375" s="1">
        <v>194917995204</v>
      </c>
    </row>
    <row r="376" spans="1:1" x14ac:dyDescent="0.25">
      <c r="A376" s="1">
        <v>194917893760</v>
      </c>
    </row>
    <row r="377" spans="1:1" x14ac:dyDescent="0.25">
      <c r="A377" s="1">
        <v>194917995211</v>
      </c>
    </row>
    <row r="378" spans="1:1" x14ac:dyDescent="0.25">
      <c r="A378" s="1">
        <v>194917893777</v>
      </c>
    </row>
    <row r="379" spans="1:1" x14ac:dyDescent="0.25">
      <c r="A379" s="1">
        <v>194917995228</v>
      </c>
    </row>
    <row r="380" spans="1:1" x14ac:dyDescent="0.25">
      <c r="A380" s="1">
        <v>194917893784</v>
      </c>
    </row>
    <row r="381" spans="1:1" x14ac:dyDescent="0.25">
      <c r="A381" s="1">
        <v>194917995235</v>
      </c>
    </row>
    <row r="382" spans="1:1" x14ac:dyDescent="0.25">
      <c r="A382" s="1">
        <v>194917893791</v>
      </c>
    </row>
    <row r="383" spans="1:1" x14ac:dyDescent="0.25">
      <c r="A383" s="1">
        <v>194917995242</v>
      </c>
    </row>
    <row r="384" spans="1:1" x14ac:dyDescent="0.25">
      <c r="A384" s="1">
        <v>194917893807</v>
      </c>
    </row>
    <row r="385" spans="1:1" x14ac:dyDescent="0.25">
      <c r="A385" s="1">
        <v>194917995259</v>
      </c>
    </row>
    <row r="386" spans="1:1" x14ac:dyDescent="0.25">
      <c r="A386" s="1">
        <v>194917893814</v>
      </c>
    </row>
    <row r="387" spans="1:1" x14ac:dyDescent="0.25">
      <c r="A387" s="1">
        <v>194917995266</v>
      </c>
    </row>
    <row r="388" spans="1:1" x14ac:dyDescent="0.25">
      <c r="A388" s="1">
        <v>194917893821</v>
      </c>
    </row>
    <row r="389" spans="1:1" x14ac:dyDescent="0.25">
      <c r="A389" s="1">
        <v>194917995273</v>
      </c>
    </row>
    <row r="390" spans="1:1" x14ac:dyDescent="0.25">
      <c r="A390" s="1">
        <v>194917893838</v>
      </c>
    </row>
    <row r="391" spans="1:1" x14ac:dyDescent="0.25">
      <c r="A391" s="1">
        <v>194917995280</v>
      </c>
    </row>
    <row r="392" spans="1:1" x14ac:dyDescent="0.25">
      <c r="A392" s="1">
        <v>194917893845</v>
      </c>
    </row>
    <row r="393" spans="1:1" x14ac:dyDescent="0.25">
      <c r="A393" s="1">
        <v>194917995297</v>
      </c>
    </row>
    <row r="394" spans="1:1" x14ac:dyDescent="0.25">
      <c r="A394" s="1">
        <v>194917893852</v>
      </c>
    </row>
    <row r="395" spans="1:1" x14ac:dyDescent="0.25">
      <c r="A395" s="1">
        <v>194917995303</v>
      </c>
    </row>
    <row r="396" spans="1:1" x14ac:dyDescent="0.25">
      <c r="A396" s="1">
        <v>194917893869</v>
      </c>
    </row>
    <row r="397" spans="1:1" x14ac:dyDescent="0.25">
      <c r="A397" s="1">
        <v>194917995310</v>
      </c>
    </row>
    <row r="398" spans="1:1" x14ac:dyDescent="0.25">
      <c r="A398" s="1">
        <v>194917894019</v>
      </c>
    </row>
    <row r="399" spans="1:1" x14ac:dyDescent="0.25">
      <c r="A399" s="1">
        <v>194917992890</v>
      </c>
    </row>
    <row r="400" spans="1:1" x14ac:dyDescent="0.25">
      <c r="A400" s="1">
        <v>194917894026</v>
      </c>
    </row>
    <row r="401" spans="1:1" x14ac:dyDescent="0.25">
      <c r="A401" s="1">
        <v>194917992906</v>
      </c>
    </row>
    <row r="402" spans="1:1" x14ac:dyDescent="0.25">
      <c r="A402" s="1">
        <v>194917894033</v>
      </c>
    </row>
    <row r="403" spans="1:1" x14ac:dyDescent="0.25">
      <c r="A403" s="1">
        <v>194917992913</v>
      </c>
    </row>
    <row r="404" spans="1:1" x14ac:dyDescent="0.25">
      <c r="A404" s="1">
        <v>194917894040</v>
      </c>
    </row>
    <row r="405" spans="1:1" x14ac:dyDescent="0.25">
      <c r="A405" s="1">
        <v>194917992920</v>
      </c>
    </row>
    <row r="406" spans="1:1" x14ac:dyDescent="0.25">
      <c r="A406" s="1">
        <v>194917894057</v>
      </c>
    </row>
    <row r="407" spans="1:1" x14ac:dyDescent="0.25">
      <c r="A407" s="1">
        <v>194917992937</v>
      </c>
    </row>
    <row r="408" spans="1:1" x14ac:dyDescent="0.25">
      <c r="A408" s="1">
        <v>194917894064</v>
      </c>
    </row>
    <row r="409" spans="1:1" x14ac:dyDescent="0.25">
      <c r="A409" s="1">
        <v>194917992944</v>
      </c>
    </row>
    <row r="410" spans="1:1" x14ac:dyDescent="0.25">
      <c r="A410" s="1">
        <v>194917894071</v>
      </c>
    </row>
    <row r="411" spans="1:1" x14ac:dyDescent="0.25">
      <c r="A411" s="1">
        <v>194917992951</v>
      </c>
    </row>
    <row r="412" spans="1:1" x14ac:dyDescent="0.25">
      <c r="A412" s="1">
        <v>194917894088</v>
      </c>
    </row>
    <row r="413" spans="1:1" x14ac:dyDescent="0.25">
      <c r="A413" s="1">
        <v>194917992968</v>
      </c>
    </row>
    <row r="414" spans="1:1" x14ac:dyDescent="0.25">
      <c r="A414" s="1">
        <v>194917894095</v>
      </c>
    </row>
    <row r="415" spans="1:1" x14ac:dyDescent="0.25">
      <c r="A415" s="1">
        <v>194917992975</v>
      </c>
    </row>
    <row r="416" spans="1:1" x14ac:dyDescent="0.25">
      <c r="A416" s="1">
        <v>194917894101</v>
      </c>
    </row>
    <row r="417" spans="1:1" x14ac:dyDescent="0.25">
      <c r="A417" s="1">
        <v>194917992982</v>
      </c>
    </row>
    <row r="418" spans="1:1" x14ac:dyDescent="0.25">
      <c r="A418" s="1">
        <v>194917894118</v>
      </c>
    </row>
    <row r="419" spans="1:1" x14ac:dyDescent="0.25">
      <c r="A419" s="1">
        <v>194917992999</v>
      </c>
    </row>
    <row r="420" spans="1:1" x14ac:dyDescent="0.25">
      <c r="A420" s="1">
        <v>194917894125</v>
      </c>
    </row>
    <row r="421" spans="1:1" x14ac:dyDescent="0.25">
      <c r="A421" s="1">
        <v>194917993002</v>
      </c>
    </row>
    <row r="422" spans="1:1" x14ac:dyDescent="0.25">
      <c r="A422" s="1">
        <v>194917894132</v>
      </c>
    </row>
    <row r="423" spans="1:1" x14ac:dyDescent="0.25">
      <c r="A423" s="1">
        <v>194917993019</v>
      </c>
    </row>
    <row r="424" spans="1:1" x14ac:dyDescent="0.25">
      <c r="A424" s="1">
        <v>194917894149</v>
      </c>
    </row>
    <row r="425" spans="1:1" x14ac:dyDescent="0.25">
      <c r="A425" s="1">
        <v>194917993026</v>
      </c>
    </row>
    <row r="426" spans="1:1" x14ac:dyDescent="0.25">
      <c r="A426" s="1">
        <v>195017659973</v>
      </c>
    </row>
    <row r="427" spans="1:1" x14ac:dyDescent="0.25">
      <c r="A427" s="1">
        <v>195017659980</v>
      </c>
    </row>
    <row r="428" spans="1:1" x14ac:dyDescent="0.25">
      <c r="A428" s="1">
        <v>195017659997</v>
      </c>
    </row>
    <row r="429" spans="1:1" x14ac:dyDescent="0.25">
      <c r="A429" s="1">
        <v>195017685507</v>
      </c>
    </row>
    <row r="430" spans="1:1" x14ac:dyDescent="0.25">
      <c r="A430" s="1">
        <v>195017685514</v>
      </c>
    </row>
    <row r="431" spans="1:1" x14ac:dyDescent="0.25">
      <c r="A431" s="1">
        <v>195017685521</v>
      </c>
    </row>
    <row r="432" spans="1:1" x14ac:dyDescent="0.25">
      <c r="A432" s="1">
        <v>194917894156</v>
      </c>
    </row>
    <row r="433" spans="1:1" x14ac:dyDescent="0.25">
      <c r="A433" s="1">
        <v>194917993033</v>
      </c>
    </row>
    <row r="434" spans="1:1" x14ac:dyDescent="0.25">
      <c r="A434" s="1">
        <v>194917894163</v>
      </c>
    </row>
    <row r="435" spans="1:1" x14ac:dyDescent="0.25">
      <c r="A435" s="1">
        <v>194917993040</v>
      </c>
    </row>
    <row r="436" spans="1:1" x14ac:dyDescent="0.25">
      <c r="A436" s="1">
        <v>194917894170</v>
      </c>
    </row>
    <row r="437" spans="1:1" x14ac:dyDescent="0.25">
      <c r="A437" s="1">
        <v>194917993057</v>
      </c>
    </row>
    <row r="438" spans="1:1" x14ac:dyDescent="0.25">
      <c r="A438" s="1">
        <v>194917894187</v>
      </c>
    </row>
    <row r="439" spans="1:1" x14ac:dyDescent="0.25">
      <c r="A439" s="1">
        <v>194917993064</v>
      </c>
    </row>
    <row r="440" spans="1:1" x14ac:dyDescent="0.25">
      <c r="A440" s="1">
        <v>194917894194</v>
      </c>
    </row>
    <row r="441" spans="1:1" x14ac:dyDescent="0.25">
      <c r="A441" s="1">
        <v>194917993071</v>
      </c>
    </row>
    <row r="442" spans="1:1" x14ac:dyDescent="0.25">
      <c r="A442" s="1">
        <v>194917894200</v>
      </c>
    </row>
    <row r="443" spans="1:1" x14ac:dyDescent="0.25">
      <c r="A443" s="1">
        <v>194917993088</v>
      </c>
    </row>
    <row r="444" spans="1:1" x14ac:dyDescent="0.25">
      <c r="A444" s="1">
        <v>194917894217</v>
      </c>
    </row>
    <row r="445" spans="1:1" x14ac:dyDescent="0.25">
      <c r="A445" s="1">
        <v>194917993095</v>
      </c>
    </row>
    <row r="446" spans="1:1" x14ac:dyDescent="0.25">
      <c r="A446" s="1">
        <v>194917894224</v>
      </c>
    </row>
    <row r="447" spans="1:1" x14ac:dyDescent="0.25">
      <c r="A447" s="1">
        <v>194917993101</v>
      </c>
    </row>
    <row r="448" spans="1:1" x14ac:dyDescent="0.25">
      <c r="A448" s="1">
        <v>194917894231</v>
      </c>
    </row>
    <row r="449" spans="1:1" x14ac:dyDescent="0.25">
      <c r="A449" s="1">
        <v>194917993118</v>
      </c>
    </row>
    <row r="450" spans="1:1" x14ac:dyDescent="0.25">
      <c r="A450" s="1">
        <v>194917894248</v>
      </c>
    </row>
    <row r="451" spans="1:1" x14ac:dyDescent="0.25">
      <c r="A451" s="1">
        <v>194917993125</v>
      </c>
    </row>
    <row r="452" spans="1:1" x14ac:dyDescent="0.25">
      <c r="A452" s="1">
        <v>194917894255</v>
      </c>
    </row>
    <row r="453" spans="1:1" x14ac:dyDescent="0.25">
      <c r="A453" s="1">
        <v>194917993132</v>
      </c>
    </row>
    <row r="454" spans="1:1" x14ac:dyDescent="0.25">
      <c r="A454" s="1">
        <v>194917894262</v>
      </c>
    </row>
    <row r="455" spans="1:1" x14ac:dyDescent="0.25">
      <c r="A455" s="1">
        <v>194917993149</v>
      </c>
    </row>
    <row r="456" spans="1:1" x14ac:dyDescent="0.25">
      <c r="A456" s="1">
        <v>194917894279</v>
      </c>
    </row>
    <row r="457" spans="1:1" x14ac:dyDescent="0.25">
      <c r="A457" s="1">
        <v>194917993156</v>
      </c>
    </row>
    <row r="458" spans="1:1" x14ac:dyDescent="0.25">
      <c r="A458" s="1">
        <v>194917894286</v>
      </c>
    </row>
    <row r="459" spans="1:1" x14ac:dyDescent="0.25">
      <c r="A459" s="1">
        <v>194917993163</v>
      </c>
    </row>
    <row r="460" spans="1:1" x14ac:dyDescent="0.25">
      <c r="A460" s="1">
        <v>195017685538</v>
      </c>
    </row>
    <row r="461" spans="1:1" x14ac:dyDescent="0.25">
      <c r="A461" s="1">
        <v>195017685545</v>
      </c>
    </row>
    <row r="462" spans="1:1" x14ac:dyDescent="0.25">
      <c r="A462" s="1">
        <v>195017659935</v>
      </c>
    </row>
    <row r="463" spans="1:1" x14ac:dyDescent="0.25">
      <c r="A463" s="1">
        <v>195017659942</v>
      </c>
    </row>
    <row r="464" spans="1:1" x14ac:dyDescent="0.25">
      <c r="A464" s="1">
        <v>195017659959</v>
      </c>
    </row>
    <row r="465" spans="1:1" x14ac:dyDescent="0.25">
      <c r="A465" s="1">
        <v>195017659966</v>
      </c>
    </row>
    <row r="466" spans="1:1" x14ac:dyDescent="0.25">
      <c r="A466" s="1">
        <v>194917894293</v>
      </c>
    </row>
    <row r="467" spans="1:1" x14ac:dyDescent="0.25">
      <c r="A467" s="1">
        <v>194917995327</v>
      </c>
    </row>
    <row r="468" spans="1:1" x14ac:dyDescent="0.25">
      <c r="A468" s="1">
        <v>194917894309</v>
      </c>
    </row>
    <row r="469" spans="1:1" x14ac:dyDescent="0.25">
      <c r="A469" s="1">
        <v>194917995334</v>
      </c>
    </row>
    <row r="470" spans="1:1" x14ac:dyDescent="0.25">
      <c r="A470" s="1">
        <v>194917894316</v>
      </c>
    </row>
    <row r="471" spans="1:1" x14ac:dyDescent="0.25">
      <c r="A471" s="1">
        <v>194917995341</v>
      </c>
    </row>
    <row r="472" spans="1:1" x14ac:dyDescent="0.25">
      <c r="A472" s="1">
        <v>194917894323</v>
      </c>
    </row>
    <row r="473" spans="1:1" x14ac:dyDescent="0.25">
      <c r="A473" s="1">
        <v>194917995358</v>
      </c>
    </row>
    <row r="474" spans="1:1" x14ac:dyDescent="0.25">
      <c r="A474" s="1">
        <v>194917894330</v>
      </c>
    </row>
    <row r="475" spans="1:1" x14ac:dyDescent="0.25">
      <c r="A475" s="1">
        <v>194917995365</v>
      </c>
    </row>
    <row r="476" spans="1:1" x14ac:dyDescent="0.25">
      <c r="A476" s="1">
        <v>194917894347</v>
      </c>
    </row>
    <row r="477" spans="1:1" x14ac:dyDescent="0.25">
      <c r="A477" s="1">
        <v>194917995372</v>
      </c>
    </row>
    <row r="478" spans="1:1" x14ac:dyDescent="0.25">
      <c r="A478" s="1">
        <v>194917894354</v>
      </c>
    </row>
    <row r="479" spans="1:1" x14ac:dyDescent="0.25">
      <c r="A479" s="1">
        <v>194917995389</v>
      </c>
    </row>
    <row r="480" spans="1:1" x14ac:dyDescent="0.25">
      <c r="A480" s="1">
        <v>194917894361</v>
      </c>
    </row>
    <row r="481" spans="1:1" x14ac:dyDescent="0.25">
      <c r="A481" s="1">
        <v>194917995396</v>
      </c>
    </row>
    <row r="482" spans="1:1" x14ac:dyDescent="0.25">
      <c r="A482" s="1">
        <v>194917894378</v>
      </c>
    </row>
    <row r="483" spans="1:1" x14ac:dyDescent="0.25">
      <c r="A483" s="1">
        <v>194917995402</v>
      </c>
    </row>
    <row r="484" spans="1:1" x14ac:dyDescent="0.25">
      <c r="A484" s="1">
        <v>194917894385</v>
      </c>
    </row>
    <row r="485" spans="1:1" x14ac:dyDescent="0.25">
      <c r="A485" s="1">
        <v>194917995419</v>
      </c>
    </row>
    <row r="486" spans="1:1" x14ac:dyDescent="0.25">
      <c r="A486" s="1">
        <v>194917894392</v>
      </c>
    </row>
    <row r="487" spans="1:1" x14ac:dyDescent="0.25">
      <c r="A487" s="1">
        <v>194917995426</v>
      </c>
    </row>
    <row r="488" spans="1:1" x14ac:dyDescent="0.25">
      <c r="A488" s="1">
        <v>194917894408</v>
      </c>
    </row>
    <row r="489" spans="1:1" x14ac:dyDescent="0.25">
      <c r="A489" s="1">
        <v>194917995433</v>
      </c>
    </row>
    <row r="490" spans="1:1" x14ac:dyDescent="0.25">
      <c r="A490" s="1">
        <v>194917894415</v>
      </c>
    </row>
    <row r="491" spans="1:1" x14ac:dyDescent="0.25">
      <c r="A491" s="1">
        <v>194917995440</v>
      </c>
    </row>
    <row r="492" spans="1:1" x14ac:dyDescent="0.25">
      <c r="A492" s="1">
        <v>194917894422</v>
      </c>
    </row>
    <row r="493" spans="1:1" x14ac:dyDescent="0.25">
      <c r="A493" s="1">
        <v>194917995457</v>
      </c>
    </row>
    <row r="494" spans="1:1" x14ac:dyDescent="0.25">
      <c r="A494" s="1">
        <v>194917894576</v>
      </c>
    </row>
    <row r="495" spans="1:1" x14ac:dyDescent="0.25">
      <c r="A495" s="1">
        <v>194917993316</v>
      </c>
    </row>
    <row r="496" spans="1:1" x14ac:dyDescent="0.25">
      <c r="A496" s="1">
        <v>194917894583</v>
      </c>
    </row>
    <row r="497" spans="1:1" x14ac:dyDescent="0.25">
      <c r="A497" s="1">
        <v>194917993323</v>
      </c>
    </row>
    <row r="498" spans="1:1" x14ac:dyDescent="0.25">
      <c r="A498" s="1">
        <v>194917894590</v>
      </c>
    </row>
    <row r="499" spans="1:1" x14ac:dyDescent="0.25">
      <c r="A499" s="1">
        <v>194917993330</v>
      </c>
    </row>
    <row r="500" spans="1:1" x14ac:dyDescent="0.25">
      <c r="A500" s="1">
        <v>194917894606</v>
      </c>
    </row>
    <row r="501" spans="1:1" x14ac:dyDescent="0.25">
      <c r="A501" s="1">
        <v>194917993347</v>
      </c>
    </row>
    <row r="502" spans="1:1" x14ac:dyDescent="0.25">
      <c r="A502" s="1">
        <v>194917894613</v>
      </c>
    </row>
    <row r="503" spans="1:1" x14ac:dyDescent="0.25">
      <c r="A503" s="1">
        <v>194917993354</v>
      </c>
    </row>
    <row r="504" spans="1:1" x14ac:dyDescent="0.25">
      <c r="A504" s="1">
        <v>194917894620</v>
      </c>
    </row>
    <row r="505" spans="1:1" x14ac:dyDescent="0.25">
      <c r="A505" s="1">
        <v>194917993361</v>
      </c>
    </row>
    <row r="506" spans="1:1" x14ac:dyDescent="0.25">
      <c r="A506" s="1">
        <v>194917894637</v>
      </c>
    </row>
    <row r="507" spans="1:1" x14ac:dyDescent="0.25">
      <c r="A507" s="1">
        <v>194917993378</v>
      </c>
    </row>
    <row r="508" spans="1:1" x14ac:dyDescent="0.25">
      <c r="A508" s="1">
        <v>194917894644</v>
      </c>
    </row>
    <row r="509" spans="1:1" x14ac:dyDescent="0.25">
      <c r="A509" s="1">
        <v>194917993385</v>
      </c>
    </row>
    <row r="510" spans="1:1" x14ac:dyDescent="0.25">
      <c r="A510" s="1">
        <v>194917894651</v>
      </c>
    </row>
    <row r="511" spans="1:1" x14ac:dyDescent="0.25">
      <c r="A511" s="1">
        <v>194917993392</v>
      </c>
    </row>
    <row r="512" spans="1:1" x14ac:dyDescent="0.25">
      <c r="A512" s="1">
        <v>194917894668</v>
      </c>
    </row>
    <row r="513" spans="1:1" x14ac:dyDescent="0.25">
      <c r="A513" s="1">
        <v>194917993408</v>
      </c>
    </row>
    <row r="514" spans="1:1" x14ac:dyDescent="0.25">
      <c r="A514" s="1">
        <v>194917894675</v>
      </c>
    </row>
    <row r="515" spans="1:1" x14ac:dyDescent="0.25">
      <c r="A515" s="1">
        <v>194917993415</v>
      </c>
    </row>
    <row r="516" spans="1:1" x14ac:dyDescent="0.25">
      <c r="A516" s="1">
        <v>194917894682</v>
      </c>
    </row>
    <row r="517" spans="1:1" x14ac:dyDescent="0.25">
      <c r="A517" s="1">
        <v>194917993422</v>
      </c>
    </row>
    <row r="518" spans="1:1" x14ac:dyDescent="0.25">
      <c r="A518" s="1">
        <v>194917894699</v>
      </c>
    </row>
    <row r="519" spans="1:1" x14ac:dyDescent="0.25">
      <c r="A519" s="1">
        <v>194917993439</v>
      </c>
    </row>
    <row r="520" spans="1:1" x14ac:dyDescent="0.25">
      <c r="A520" s="1">
        <v>194917894705</v>
      </c>
    </row>
    <row r="521" spans="1:1" x14ac:dyDescent="0.25">
      <c r="A521" s="1">
        <v>194917993446</v>
      </c>
    </row>
    <row r="522" spans="1:1" x14ac:dyDescent="0.25">
      <c r="A522" s="1">
        <v>194917894712</v>
      </c>
    </row>
    <row r="523" spans="1:1" x14ac:dyDescent="0.25">
      <c r="A523" s="1">
        <v>194917993453</v>
      </c>
    </row>
    <row r="524" spans="1:1" x14ac:dyDescent="0.25">
      <c r="A524" s="1">
        <v>194917894729</v>
      </c>
    </row>
    <row r="525" spans="1:1" x14ac:dyDescent="0.25">
      <c r="A525" s="1">
        <v>194917993460</v>
      </c>
    </row>
    <row r="526" spans="1:1" x14ac:dyDescent="0.25">
      <c r="A526" s="1">
        <v>194917894736</v>
      </c>
    </row>
    <row r="527" spans="1:1" x14ac:dyDescent="0.25">
      <c r="A527" s="1">
        <v>194917993477</v>
      </c>
    </row>
    <row r="528" spans="1:1" x14ac:dyDescent="0.25">
      <c r="A528" s="1">
        <v>194917894743</v>
      </c>
    </row>
    <row r="529" spans="1:1" x14ac:dyDescent="0.25">
      <c r="A529" s="1">
        <v>194917993484</v>
      </c>
    </row>
    <row r="530" spans="1:1" x14ac:dyDescent="0.25">
      <c r="A530" s="1">
        <v>194917894750</v>
      </c>
    </row>
    <row r="531" spans="1:1" x14ac:dyDescent="0.25">
      <c r="A531" s="1">
        <v>194917993491</v>
      </c>
    </row>
    <row r="532" spans="1:1" x14ac:dyDescent="0.25">
      <c r="A532" s="1">
        <v>194917894767</v>
      </c>
    </row>
    <row r="533" spans="1:1" x14ac:dyDescent="0.25">
      <c r="A533" s="1">
        <v>194917993507</v>
      </c>
    </row>
    <row r="534" spans="1:1" x14ac:dyDescent="0.25">
      <c r="A534" s="1">
        <v>194917894774</v>
      </c>
    </row>
    <row r="535" spans="1:1" x14ac:dyDescent="0.25">
      <c r="A535" s="1">
        <v>194917993514</v>
      </c>
    </row>
    <row r="536" spans="1:1" x14ac:dyDescent="0.25">
      <c r="A536" s="1">
        <v>194917894781</v>
      </c>
    </row>
    <row r="537" spans="1:1" x14ac:dyDescent="0.25">
      <c r="A537" s="1">
        <v>194917993521</v>
      </c>
    </row>
    <row r="538" spans="1:1" x14ac:dyDescent="0.25">
      <c r="A538" s="1">
        <v>194917894798</v>
      </c>
    </row>
    <row r="539" spans="1:1" x14ac:dyDescent="0.25">
      <c r="A539" s="1">
        <v>194917993538</v>
      </c>
    </row>
    <row r="540" spans="1:1" x14ac:dyDescent="0.25">
      <c r="A540" s="1">
        <v>194917894804</v>
      </c>
    </row>
    <row r="541" spans="1:1" x14ac:dyDescent="0.25">
      <c r="A541" s="1">
        <v>194917993545</v>
      </c>
    </row>
    <row r="542" spans="1:1" x14ac:dyDescent="0.25">
      <c r="A542" s="1">
        <v>194917894811</v>
      </c>
    </row>
    <row r="543" spans="1:1" x14ac:dyDescent="0.25">
      <c r="A543" s="1">
        <v>194917993552</v>
      </c>
    </row>
    <row r="544" spans="1:1" x14ac:dyDescent="0.25">
      <c r="A544" s="1">
        <v>194917894828</v>
      </c>
    </row>
    <row r="545" spans="1:1" x14ac:dyDescent="0.25">
      <c r="A545" s="1">
        <v>194917993569</v>
      </c>
    </row>
    <row r="546" spans="1:1" x14ac:dyDescent="0.25">
      <c r="A546" s="1">
        <v>194917894835</v>
      </c>
    </row>
    <row r="547" spans="1:1" x14ac:dyDescent="0.25">
      <c r="A547" s="1">
        <v>194917993576</v>
      </c>
    </row>
    <row r="548" spans="1:1" x14ac:dyDescent="0.25">
      <c r="A548" s="1">
        <v>194917894842</v>
      </c>
    </row>
    <row r="549" spans="1:1" x14ac:dyDescent="0.25">
      <c r="A549" s="1">
        <v>194917993583</v>
      </c>
    </row>
    <row r="550" spans="1:1" x14ac:dyDescent="0.25">
      <c r="A550" s="1">
        <v>195017685552</v>
      </c>
    </row>
    <row r="551" spans="1:1" x14ac:dyDescent="0.25">
      <c r="A551" s="1">
        <v>195017685569</v>
      </c>
    </row>
    <row r="552" spans="1:1" x14ac:dyDescent="0.25">
      <c r="A552" s="1">
        <v>195017685576</v>
      </c>
    </row>
    <row r="553" spans="1:1" x14ac:dyDescent="0.25">
      <c r="A553" s="1">
        <v>195017685583</v>
      </c>
    </row>
    <row r="554" spans="1:1" x14ac:dyDescent="0.25">
      <c r="A554" s="1">
        <v>195017685590</v>
      </c>
    </row>
    <row r="555" spans="1:1" x14ac:dyDescent="0.25">
      <c r="A555" s="1">
        <v>195017685606</v>
      </c>
    </row>
    <row r="556" spans="1:1" x14ac:dyDescent="0.25">
      <c r="A556" s="1">
        <v>194917894859</v>
      </c>
    </row>
    <row r="557" spans="1:1" x14ac:dyDescent="0.25">
      <c r="A557" s="1">
        <v>194917993590</v>
      </c>
    </row>
    <row r="558" spans="1:1" x14ac:dyDescent="0.25">
      <c r="A558" s="1">
        <v>194917894866</v>
      </c>
    </row>
    <row r="559" spans="1:1" x14ac:dyDescent="0.25">
      <c r="A559" s="1">
        <v>194917993606</v>
      </c>
    </row>
    <row r="560" spans="1:1" x14ac:dyDescent="0.25">
      <c r="A560" s="1">
        <v>194917894873</v>
      </c>
    </row>
    <row r="561" spans="1:1" x14ac:dyDescent="0.25">
      <c r="A561" s="1">
        <v>194917993613</v>
      </c>
    </row>
    <row r="562" spans="1:1" x14ac:dyDescent="0.25">
      <c r="A562" s="1">
        <v>194917894880</v>
      </c>
    </row>
    <row r="563" spans="1:1" x14ac:dyDescent="0.25">
      <c r="A563" s="1">
        <v>194917993620</v>
      </c>
    </row>
    <row r="564" spans="1:1" x14ac:dyDescent="0.25">
      <c r="A564" s="1">
        <v>194917894897</v>
      </c>
    </row>
    <row r="565" spans="1:1" x14ac:dyDescent="0.25">
      <c r="A565" s="1">
        <v>194917993637</v>
      </c>
    </row>
    <row r="566" spans="1:1" x14ac:dyDescent="0.25">
      <c r="A566" s="1">
        <v>194917894903</v>
      </c>
    </row>
    <row r="567" spans="1:1" x14ac:dyDescent="0.25">
      <c r="A567" s="1">
        <v>194917993644</v>
      </c>
    </row>
    <row r="568" spans="1:1" x14ac:dyDescent="0.25">
      <c r="A568" s="1">
        <v>194917894910</v>
      </c>
    </row>
    <row r="569" spans="1:1" x14ac:dyDescent="0.25">
      <c r="A569" s="1">
        <v>194917993651</v>
      </c>
    </row>
    <row r="570" spans="1:1" x14ac:dyDescent="0.25">
      <c r="A570" s="1">
        <v>194917894927</v>
      </c>
    </row>
    <row r="571" spans="1:1" x14ac:dyDescent="0.25">
      <c r="A571" s="1">
        <v>194917993668</v>
      </c>
    </row>
    <row r="572" spans="1:1" x14ac:dyDescent="0.25">
      <c r="A572" s="1">
        <v>194917894934</v>
      </c>
    </row>
    <row r="573" spans="1:1" x14ac:dyDescent="0.25">
      <c r="A573" s="1">
        <v>194917993675</v>
      </c>
    </row>
    <row r="574" spans="1:1" x14ac:dyDescent="0.25">
      <c r="A574" s="1">
        <v>194917894941</v>
      </c>
    </row>
    <row r="575" spans="1:1" x14ac:dyDescent="0.25">
      <c r="A575" s="1">
        <v>194917993682</v>
      </c>
    </row>
    <row r="576" spans="1:1" x14ac:dyDescent="0.25">
      <c r="A576" s="1">
        <v>194917894958</v>
      </c>
    </row>
    <row r="577" spans="1:1" x14ac:dyDescent="0.25">
      <c r="A577" s="1">
        <v>194917993699</v>
      </c>
    </row>
    <row r="578" spans="1:1" x14ac:dyDescent="0.25">
      <c r="A578" s="1">
        <v>194917894965</v>
      </c>
    </row>
    <row r="579" spans="1:1" x14ac:dyDescent="0.25">
      <c r="A579" s="1">
        <v>194917993705</v>
      </c>
    </row>
    <row r="580" spans="1:1" x14ac:dyDescent="0.25">
      <c r="A580" s="1">
        <v>194917894972</v>
      </c>
    </row>
    <row r="581" spans="1:1" x14ac:dyDescent="0.25">
      <c r="A581" s="1">
        <v>194917993712</v>
      </c>
    </row>
    <row r="582" spans="1:1" x14ac:dyDescent="0.25">
      <c r="A582" s="1">
        <v>194917894989</v>
      </c>
    </row>
    <row r="583" spans="1:1" x14ac:dyDescent="0.25">
      <c r="A583" s="1">
        <v>194917993729</v>
      </c>
    </row>
    <row r="584" spans="1:1" x14ac:dyDescent="0.25">
      <c r="A584" s="1">
        <v>194917894996</v>
      </c>
    </row>
    <row r="585" spans="1:1" x14ac:dyDescent="0.25">
      <c r="A585" s="1">
        <v>194917993736</v>
      </c>
    </row>
    <row r="586" spans="1:1" x14ac:dyDescent="0.25">
      <c r="A586" s="1">
        <v>194917895009</v>
      </c>
    </row>
    <row r="587" spans="1:1" x14ac:dyDescent="0.25">
      <c r="A587" s="1">
        <v>194917993743</v>
      </c>
    </row>
    <row r="588" spans="1:1" x14ac:dyDescent="0.25">
      <c r="A588" s="1">
        <v>194917895016</v>
      </c>
    </row>
    <row r="589" spans="1:1" x14ac:dyDescent="0.25">
      <c r="A589" s="1">
        <v>194917993750</v>
      </c>
    </row>
    <row r="590" spans="1:1" x14ac:dyDescent="0.25">
      <c r="A590" s="1">
        <v>194917895023</v>
      </c>
    </row>
    <row r="591" spans="1:1" x14ac:dyDescent="0.25">
      <c r="A591" s="1">
        <v>194917993767</v>
      </c>
    </row>
    <row r="592" spans="1:1" x14ac:dyDescent="0.25">
      <c r="A592" s="1">
        <v>194917895030</v>
      </c>
    </row>
    <row r="593" spans="1:1" x14ac:dyDescent="0.25">
      <c r="A593" s="1">
        <v>194917993774</v>
      </c>
    </row>
    <row r="594" spans="1:1" x14ac:dyDescent="0.25">
      <c r="A594" s="1">
        <v>194917895047</v>
      </c>
    </row>
    <row r="595" spans="1:1" x14ac:dyDescent="0.25">
      <c r="A595" s="1">
        <v>194917993781</v>
      </c>
    </row>
    <row r="596" spans="1:1" x14ac:dyDescent="0.25">
      <c r="A596" s="1">
        <v>194917895054</v>
      </c>
    </row>
    <row r="597" spans="1:1" x14ac:dyDescent="0.25">
      <c r="A597" s="1">
        <v>194917993798</v>
      </c>
    </row>
    <row r="598" spans="1:1" x14ac:dyDescent="0.25">
      <c r="A598" s="1">
        <v>194917895061</v>
      </c>
    </row>
    <row r="599" spans="1:1" x14ac:dyDescent="0.25">
      <c r="A599" s="1">
        <v>194917993804</v>
      </c>
    </row>
    <row r="600" spans="1:1" x14ac:dyDescent="0.25">
      <c r="A600" s="1">
        <v>194917895078</v>
      </c>
    </row>
    <row r="601" spans="1:1" x14ac:dyDescent="0.25">
      <c r="A601" s="1">
        <v>194917993811</v>
      </c>
    </row>
    <row r="602" spans="1:1" x14ac:dyDescent="0.25">
      <c r="A602" s="1">
        <v>194917895085</v>
      </c>
    </row>
    <row r="603" spans="1:1" x14ac:dyDescent="0.25">
      <c r="A603" s="1">
        <v>194917993828</v>
      </c>
    </row>
    <row r="604" spans="1:1" x14ac:dyDescent="0.25">
      <c r="A604" s="1">
        <v>194917895092</v>
      </c>
    </row>
    <row r="605" spans="1:1" x14ac:dyDescent="0.25">
      <c r="A605" s="1">
        <v>194917993835</v>
      </c>
    </row>
    <row r="606" spans="1:1" x14ac:dyDescent="0.25">
      <c r="A606" s="1">
        <v>194917895108</v>
      </c>
    </row>
    <row r="607" spans="1:1" x14ac:dyDescent="0.25">
      <c r="A607" s="1">
        <v>194917993842</v>
      </c>
    </row>
    <row r="608" spans="1:1" x14ac:dyDescent="0.25">
      <c r="A608" s="1">
        <v>194917895115</v>
      </c>
    </row>
    <row r="609" spans="1:1" x14ac:dyDescent="0.25">
      <c r="A609" s="1">
        <v>194917993859</v>
      </c>
    </row>
    <row r="610" spans="1:1" x14ac:dyDescent="0.25">
      <c r="A610" s="1">
        <v>194917895122</v>
      </c>
    </row>
    <row r="611" spans="1:1" x14ac:dyDescent="0.25">
      <c r="A611" s="1">
        <v>194917993866</v>
      </c>
    </row>
    <row r="612" spans="1:1" x14ac:dyDescent="0.25">
      <c r="A612" s="1">
        <v>194917855027</v>
      </c>
    </row>
    <row r="613" spans="1:1" x14ac:dyDescent="0.25">
      <c r="A613" s="1">
        <v>194917855034</v>
      </c>
    </row>
    <row r="614" spans="1:1" x14ac:dyDescent="0.25">
      <c r="A614" s="1">
        <v>194917855041</v>
      </c>
    </row>
    <row r="615" spans="1:1" x14ac:dyDescent="0.25">
      <c r="A615" s="1">
        <v>194917855058</v>
      </c>
    </row>
    <row r="616" spans="1:1" x14ac:dyDescent="0.25">
      <c r="A616" s="1">
        <v>194917855065</v>
      </c>
    </row>
    <row r="617" spans="1:1" x14ac:dyDescent="0.25">
      <c r="A617" s="1">
        <v>194917855072</v>
      </c>
    </row>
    <row r="618" spans="1:1" x14ac:dyDescent="0.25">
      <c r="A618" s="1">
        <v>194917855089</v>
      </c>
    </row>
    <row r="619" spans="1:1" x14ac:dyDescent="0.25">
      <c r="A619" s="1">
        <v>194917855096</v>
      </c>
    </row>
    <row r="620" spans="1:1" x14ac:dyDescent="0.25">
      <c r="A620" s="1">
        <v>194917855102</v>
      </c>
    </row>
    <row r="621" spans="1:1" x14ac:dyDescent="0.25">
      <c r="A621" s="1">
        <v>194917855119</v>
      </c>
    </row>
    <row r="622" spans="1:1" x14ac:dyDescent="0.25">
      <c r="A622" s="1">
        <v>194917855126</v>
      </c>
    </row>
    <row r="623" spans="1:1" x14ac:dyDescent="0.25">
      <c r="A623" s="1">
        <v>194917855133</v>
      </c>
    </row>
    <row r="624" spans="1:1" x14ac:dyDescent="0.25">
      <c r="A624" s="1">
        <v>194917855140</v>
      </c>
    </row>
    <row r="625" spans="1:1" x14ac:dyDescent="0.25">
      <c r="A625" s="1">
        <v>194917855157</v>
      </c>
    </row>
    <row r="626" spans="1:1" x14ac:dyDescent="0.25">
      <c r="A626" s="1">
        <v>194917855164</v>
      </c>
    </row>
    <row r="627" spans="1:1" x14ac:dyDescent="0.25">
      <c r="A627" s="1">
        <v>194917855171</v>
      </c>
    </row>
    <row r="628" spans="1:1" x14ac:dyDescent="0.25">
      <c r="A628" s="1">
        <v>194917855188</v>
      </c>
    </row>
    <row r="629" spans="1:1" x14ac:dyDescent="0.25">
      <c r="A629" s="1">
        <v>194917855195</v>
      </c>
    </row>
    <row r="630" spans="1:1" x14ac:dyDescent="0.25">
      <c r="A630" s="1">
        <v>194917855201</v>
      </c>
    </row>
    <row r="631" spans="1:1" x14ac:dyDescent="0.25">
      <c r="A631" s="1">
        <v>194917855218</v>
      </c>
    </row>
    <row r="632" spans="1:1" x14ac:dyDescent="0.25">
      <c r="A632" s="1">
        <v>194917855225</v>
      </c>
    </row>
    <row r="633" spans="1:1" x14ac:dyDescent="0.25">
      <c r="A633" s="1">
        <v>194917855232</v>
      </c>
    </row>
    <row r="634" spans="1:1" x14ac:dyDescent="0.25">
      <c r="A634" s="1">
        <v>194917855249</v>
      </c>
    </row>
    <row r="635" spans="1:1" x14ac:dyDescent="0.25">
      <c r="A635" s="1">
        <v>194917855256</v>
      </c>
    </row>
    <row r="636" spans="1:1" x14ac:dyDescent="0.25">
      <c r="A636" s="1">
        <v>194917855263</v>
      </c>
    </row>
    <row r="637" spans="1:1" x14ac:dyDescent="0.25">
      <c r="A637" s="1">
        <v>194917855270</v>
      </c>
    </row>
    <row r="638" spans="1:1" x14ac:dyDescent="0.25">
      <c r="A638" s="1">
        <v>194917855287</v>
      </c>
    </row>
    <row r="639" spans="1:1" x14ac:dyDescent="0.25">
      <c r="A639" s="1">
        <v>194917855294</v>
      </c>
    </row>
    <row r="640" spans="1:1" x14ac:dyDescent="0.25">
      <c r="A640" s="1">
        <v>194917855300</v>
      </c>
    </row>
    <row r="641" spans="1:1" x14ac:dyDescent="0.25">
      <c r="A641" s="1">
        <v>194917855317</v>
      </c>
    </row>
    <row r="642" spans="1:1" x14ac:dyDescent="0.25">
      <c r="A642" s="1">
        <v>194917855324</v>
      </c>
    </row>
    <row r="643" spans="1:1" x14ac:dyDescent="0.25">
      <c r="A643" s="1">
        <v>194917855331</v>
      </c>
    </row>
    <row r="644" spans="1:1" x14ac:dyDescent="0.25">
      <c r="A644" s="1">
        <v>194917855348</v>
      </c>
    </row>
    <row r="645" spans="1:1" x14ac:dyDescent="0.25">
      <c r="A645" s="1">
        <v>194917855355</v>
      </c>
    </row>
    <row r="646" spans="1:1" x14ac:dyDescent="0.25">
      <c r="A646" s="1">
        <v>194917855362</v>
      </c>
    </row>
    <row r="647" spans="1:1" x14ac:dyDescent="0.25">
      <c r="A647" s="1">
        <v>194917855379</v>
      </c>
    </row>
    <row r="648" spans="1:1" x14ac:dyDescent="0.25">
      <c r="A648" s="1">
        <v>195022165988</v>
      </c>
    </row>
    <row r="649" spans="1:1" x14ac:dyDescent="0.25">
      <c r="A649" s="1">
        <v>195022165841</v>
      </c>
    </row>
    <row r="650" spans="1:1" x14ac:dyDescent="0.25">
      <c r="A650" s="1">
        <v>195022165995</v>
      </c>
    </row>
    <row r="651" spans="1:1" x14ac:dyDescent="0.25">
      <c r="A651" s="1">
        <v>195022165858</v>
      </c>
    </row>
    <row r="652" spans="1:1" x14ac:dyDescent="0.25">
      <c r="A652" s="1">
        <v>195022166008</v>
      </c>
    </row>
    <row r="653" spans="1:1" x14ac:dyDescent="0.25">
      <c r="A653" s="1">
        <v>195022165865</v>
      </c>
    </row>
    <row r="654" spans="1:1" x14ac:dyDescent="0.25">
      <c r="A654" s="1">
        <v>195022166015</v>
      </c>
    </row>
    <row r="655" spans="1:1" x14ac:dyDescent="0.25">
      <c r="A655" s="1">
        <v>195022165872</v>
      </c>
    </row>
    <row r="656" spans="1:1" x14ac:dyDescent="0.25">
      <c r="A656" s="1">
        <v>195022166022</v>
      </c>
    </row>
    <row r="657" spans="1:1" x14ac:dyDescent="0.25">
      <c r="A657" s="1">
        <v>195022165889</v>
      </c>
    </row>
    <row r="658" spans="1:1" x14ac:dyDescent="0.25">
      <c r="A658" s="1">
        <v>195022166039</v>
      </c>
    </row>
    <row r="659" spans="1:1" x14ac:dyDescent="0.25">
      <c r="A659" s="1">
        <v>195022165896</v>
      </c>
    </row>
    <row r="660" spans="1:1" x14ac:dyDescent="0.25">
      <c r="A660" s="1">
        <v>195022166046</v>
      </c>
    </row>
    <row r="661" spans="1:1" x14ac:dyDescent="0.25">
      <c r="A661" s="1">
        <v>195022165902</v>
      </c>
    </row>
    <row r="662" spans="1:1" x14ac:dyDescent="0.25">
      <c r="A662" s="1">
        <v>195022166053</v>
      </c>
    </row>
    <row r="663" spans="1:1" x14ac:dyDescent="0.25">
      <c r="A663" s="1">
        <v>195022165919</v>
      </c>
    </row>
    <row r="664" spans="1:1" x14ac:dyDescent="0.25">
      <c r="A664" s="1">
        <v>195022166060</v>
      </c>
    </row>
    <row r="665" spans="1:1" x14ac:dyDescent="0.25">
      <c r="A665" s="1">
        <v>195022165926</v>
      </c>
    </row>
    <row r="666" spans="1:1" x14ac:dyDescent="0.25">
      <c r="A666" s="1">
        <v>195022166077</v>
      </c>
    </row>
    <row r="667" spans="1:1" x14ac:dyDescent="0.25">
      <c r="A667" s="1">
        <v>195022165933</v>
      </c>
    </row>
    <row r="668" spans="1:1" x14ac:dyDescent="0.25">
      <c r="A668" s="1">
        <v>195022166084</v>
      </c>
    </row>
    <row r="669" spans="1:1" x14ac:dyDescent="0.25">
      <c r="A669" s="1">
        <v>195022165940</v>
      </c>
    </row>
    <row r="670" spans="1:1" x14ac:dyDescent="0.25">
      <c r="A670" s="1">
        <v>195022166091</v>
      </c>
    </row>
    <row r="671" spans="1:1" x14ac:dyDescent="0.25">
      <c r="A671" s="1">
        <v>195022165957</v>
      </c>
    </row>
    <row r="672" spans="1:1" x14ac:dyDescent="0.25">
      <c r="A672" s="1">
        <v>195022166107</v>
      </c>
    </row>
    <row r="673" spans="1:1" x14ac:dyDescent="0.25">
      <c r="A673" s="1">
        <v>195022165964</v>
      </c>
    </row>
    <row r="674" spans="1:1" x14ac:dyDescent="0.25">
      <c r="A674" s="1">
        <v>195022166114</v>
      </c>
    </row>
    <row r="675" spans="1:1" x14ac:dyDescent="0.25">
      <c r="A675" s="1">
        <v>195022165971</v>
      </c>
    </row>
    <row r="676" spans="1:1" x14ac:dyDescent="0.25">
      <c r="A676" s="1">
        <v>195018759658</v>
      </c>
    </row>
    <row r="677" spans="1:1" x14ac:dyDescent="0.25">
      <c r="A677" s="1">
        <v>195018759511</v>
      </c>
    </row>
    <row r="678" spans="1:1" x14ac:dyDescent="0.25">
      <c r="A678" s="1">
        <v>195018759665</v>
      </c>
    </row>
    <row r="679" spans="1:1" x14ac:dyDescent="0.25">
      <c r="A679" s="1">
        <v>195018759528</v>
      </c>
    </row>
    <row r="680" spans="1:1" x14ac:dyDescent="0.25">
      <c r="A680" s="1">
        <v>195018759672</v>
      </c>
    </row>
    <row r="681" spans="1:1" x14ac:dyDescent="0.25">
      <c r="A681" s="1">
        <v>195018759535</v>
      </c>
    </row>
    <row r="682" spans="1:1" x14ac:dyDescent="0.25">
      <c r="A682" s="1">
        <v>195018759689</v>
      </c>
    </row>
    <row r="683" spans="1:1" x14ac:dyDescent="0.25">
      <c r="A683" s="1">
        <v>195018759542</v>
      </c>
    </row>
    <row r="684" spans="1:1" x14ac:dyDescent="0.25">
      <c r="A684" s="1">
        <v>195018759696</v>
      </c>
    </row>
    <row r="685" spans="1:1" x14ac:dyDescent="0.25">
      <c r="A685" s="1">
        <v>195018759559</v>
      </c>
    </row>
    <row r="686" spans="1:1" x14ac:dyDescent="0.25">
      <c r="A686" s="1">
        <v>195018759702</v>
      </c>
    </row>
    <row r="687" spans="1:1" x14ac:dyDescent="0.25">
      <c r="A687" s="1">
        <v>195018759566</v>
      </c>
    </row>
    <row r="688" spans="1:1" x14ac:dyDescent="0.25">
      <c r="A688" s="1">
        <v>195018759719</v>
      </c>
    </row>
    <row r="689" spans="1:1" x14ac:dyDescent="0.25">
      <c r="A689" s="1">
        <v>195018759573</v>
      </c>
    </row>
    <row r="690" spans="1:1" x14ac:dyDescent="0.25">
      <c r="A690" s="1">
        <v>195018759726</v>
      </c>
    </row>
    <row r="691" spans="1:1" x14ac:dyDescent="0.25">
      <c r="A691" s="1">
        <v>195018759580</v>
      </c>
    </row>
    <row r="692" spans="1:1" x14ac:dyDescent="0.25">
      <c r="A692" s="1">
        <v>195018759733</v>
      </c>
    </row>
    <row r="693" spans="1:1" x14ac:dyDescent="0.25">
      <c r="A693" s="1">
        <v>195018759597</v>
      </c>
    </row>
    <row r="694" spans="1:1" x14ac:dyDescent="0.25">
      <c r="A694" s="1">
        <v>195018759740</v>
      </c>
    </row>
    <row r="695" spans="1:1" x14ac:dyDescent="0.25">
      <c r="A695" s="1">
        <v>195018759603</v>
      </c>
    </row>
    <row r="696" spans="1:1" x14ac:dyDescent="0.25">
      <c r="A696" s="1">
        <v>195018759757</v>
      </c>
    </row>
    <row r="697" spans="1:1" x14ac:dyDescent="0.25">
      <c r="A697" s="1">
        <v>195018759610</v>
      </c>
    </row>
    <row r="698" spans="1:1" x14ac:dyDescent="0.25">
      <c r="A698" s="1">
        <v>195018759764</v>
      </c>
    </row>
    <row r="699" spans="1:1" x14ac:dyDescent="0.25">
      <c r="A699" s="1">
        <v>195018759627</v>
      </c>
    </row>
    <row r="700" spans="1:1" x14ac:dyDescent="0.25">
      <c r="A700" s="1">
        <v>195018759771</v>
      </c>
    </row>
    <row r="701" spans="1:1" x14ac:dyDescent="0.25">
      <c r="A701" s="1">
        <v>195018759634</v>
      </c>
    </row>
    <row r="702" spans="1:1" x14ac:dyDescent="0.25">
      <c r="A702" s="1">
        <v>195018759788</v>
      </c>
    </row>
    <row r="703" spans="1:1" x14ac:dyDescent="0.25">
      <c r="A703" s="1">
        <v>195018759641</v>
      </c>
    </row>
    <row r="704" spans="1:1" x14ac:dyDescent="0.25">
      <c r="A704" s="1">
        <v>195019779914</v>
      </c>
    </row>
    <row r="705" spans="1:1" x14ac:dyDescent="0.25">
      <c r="A705" s="1">
        <v>195019779921</v>
      </c>
    </row>
    <row r="706" spans="1:1" x14ac:dyDescent="0.25">
      <c r="A706" s="1">
        <v>195019779938</v>
      </c>
    </row>
    <row r="707" spans="1:1" x14ac:dyDescent="0.25">
      <c r="A707" s="1">
        <v>195019779945</v>
      </c>
    </row>
    <row r="708" spans="1:1" x14ac:dyDescent="0.25">
      <c r="A708" s="1">
        <v>195019257030</v>
      </c>
    </row>
    <row r="709" spans="1:1" x14ac:dyDescent="0.25">
      <c r="A709" s="1">
        <v>195019257047</v>
      </c>
    </row>
    <row r="710" spans="1:1" x14ac:dyDescent="0.25">
      <c r="A710" s="1">
        <v>195019257054</v>
      </c>
    </row>
    <row r="711" spans="1:1" x14ac:dyDescent="0.25">
      <c r="A711" s="1">
        <v>195019257061</v>
      </c>
    </row>
    <row r="712" spans="1:1" x14ac:dyDescent="0.25">
      <c r="A712" s="1">
        <v>195018759931</v>
      </c>
    </row>
    <row r="713" spans="1:1" x14ac:dyDescent="0.25">
      <c r="A713" s="1">
        <v>195018759795</v>
      </c>
    </row>
    <row r="714" spans="1:1" x14ac:dyDescent="0.25">
      <c r="A714" s="1">
        <v>195018759948</v>
      </c>
    </row>
    <row r="715" spans="1:1" x14ac:dyDescent="0.25">
      <c r="A715" s="1">
        <v>195018759801</v>
      </c>
    </row>
    <row r="716" spans="1:1" x14ac:dyDescent="0.25">
      <c r="A716" s="1">
        <v>195018759955</v>
      </c>
    </row>
    <row r="717" spans="1:1" x14ac:dyDescent="0.25">
      <c r="A717" s="1">
        <v>195018759818</v>
      </c>
    </row>
    <row r="718" spans="1:1" x14ac:dyDescent="0.25">
      <c r="A718" s="1">
        <v>195018759962</v>
      </c>
    </row>
    <row r="719" spans="1:1" x14ac:dyDescent="0.25">
      <c r="A719" s="1">
        <v>195018759825</v>
      </c>
    </row>
    <row r="720" spans="1:1" x14ac:dyDescent="0.25">
      <c r="A720" s="1">
        <v>195018759979</v>
      </c>
    </row>
    <row r="721" spans="1:1" x14ac:dyDescent="0.25">
      <c r="A721" s="1">
        <v>195018759832</v>
      </c>
    </row>
    <row r="722" spans="1:1" x14ac:dyDescent="0.25">
      <c r="A722" s="1">
        <v>195018759986</v>
      </c>
    </row>
    <row r="723" spans="1:1" x14ac:dyDescent="0.25">
      <c r="A723" s="1">
        <v>195018759849</v>
      </c>
    </row>
    <row r="724" spans="1:1" x14ac:dyDescent="0.25">
      <c r="A724" s="1">
        <v>195018759993</v>
      </c>
    </row>
    <row r="725" spans="1:1" x14ac:dyDescent="0.25">
      <c r="A725" s="1">
        <v>195018759856</v>
      </c>
    </row>
    <row r="726" spans="1:1" x14ac:dyDescent="0.25">
      <c r="A726" s="1">
        <v>195018760005</v>
      </c>
    </row>
    <row r="727" spans="1:1" x14ac:dyDescent="0.25">
      <c r="A727" s="1">
        <v>195018759863</v>
      </c>
    </row>
    <row r="728" spans="1:1" x14ac:dyDescent="0.25">
      <c r="A728" s="1">
        <v>195018760012</v>
      </c>
    </row>
    <row r="729" spans="1:1" x14ac:dyDescent="0.25">
      <c r="A729" s="1">
        <v>195018759870</v>
      </c>
    </row>
    <row r="730" spans="1:1" x14ac:dyDescent="0.25">
      <c r="A730" s="1">
        <v>195018760029</v>
      </c>
    </row>
    <row r="731" spans="1:1" x14ac:dyDescent="0.25">
      <c r="A731" s="1">
        <v>195018759887</v>
      </c>
    </row>
    <row r="732" spans="1:1" x14ac:dyDescent="0.25">
      <c r="A732" s="1">
        <v>195018760036</v>
      </c>
    </row>
    <row r="733" spans="1:1" x14ac:dyDescent="0.25">
      <c r="A733" s="1">
        <v>195018759894</v>
      </c>
    </row>
    <row r="734" spans="1:1" x14ac:dyDescent="0.25">
      <c r="A734" s="1">
        <v>195018760043</v>
      </c>
    </row>
    <row r="735" spans="1:1" x14ac:dyDescent="0.25">
      <c r="A735" s="1">
        <v>195018759900</v>
      </c>
    </row>
    <row r="736" spans="1:1" x14ac:dyDescent="0.25">
      <c r="A736" s="1">
        <v>195018760050</v>
      </c>
    </row>
    <row r="737" spans="1:1" x14ac:dyDescent="0.25">
      <c r="A737" s="1">
        <v>195018759917</v>
      </c>
    </row>
    <row r="738" spans="1:1" x14ac:dyDescent="0.25">
      <c r="A738" s="1">
        <v>195018760067</v>
      </c>
    </row>
    <row r="739" spans="1:1" x14ac:dyDescent="0.25">
      <c r="A739" s="1">
        <v>195018759924</v>
      </c>
    </row>
    <row r="740" spans="1:1" x14ac:dyDescent="0.25">
      <c r="A740" s="1">
        <v>195022166268</v>
      </c>
    </row>
    <row r="741" spans="1:1" x14ac:dyDescent="0.25">
      <c r="A741" s="1">
        <v>195022166121</v>
      </c>
    </row>
    <row r="742" spans="1:1" x14ac:dyDescent="0.25">
      <c r="A742" s="1">
        <v>195022166275</v>
      </c>
    </row>
    <row r="743" spans="1:1" x14ac:dyDescent="0.25">
      <c r="A743" s="1">
        <v>195022166138</v>
      </c>
    </row>
    <row r="744" spans="1:1" x14ac:dyDescent="0.25">
      <c r="A744" s="1">
        <v>195022166282</v>
      </c>
    </row>
    <row r="745" spans="1:1" x14ac:dyDescent="0.25">
      <c r="A745" s="1">
        <v>195022166145</v>
      </c>
    </row>
    <row r="746" spans="1:1" x14ac:dyDescent="0.25">
      <c r="A746" s="1">
        <v>195022166299</v>
      </c>
    </row>
    <row r="747" spans="1:1" x14ac:dyDescent="0.25">
      <c r="A747" s="1">
        <v>195022166152</v>
      </c>
    </row>
    <row r="748" spans="1:1" x14ac:dyDescent="0.25">
      <c r="A748" s="1">
        <v>195022166305</v>
      </c>
    </row>
    <row r="749" spans="1:1" x14ac:dyDescent="0.25">
      <c r="A749" s="1">
        <v>195022166169</v>
      </c>
    </row>
    <row r="750" spans="1:1" x14ac:dyDescent="0.25">
      <c r="A750" s="1">
        <v>195022166312</v>
      </c>
    </row>
    <row r="751" spans="1:1" x14ac:dyDescent="0.25">
      <c r="A751" s="1">
        <v>195022166176</v>
      </c>
    </row>
    <row r="752" spans="1:1" x14ac:dyDescent="0.25">
      <c r="A752" s="1">
        <v>195022166329</v>
      </c>
    </row>
    <row r="753" spans="1:1" x14ac:dyDescent="0.25">
      <c r="A753" s="1">
        <v>195022166183</v>
      </c>
    </row>
    <row r="754" spans="1:1" x14ac:dyDescent="0.25">
      <c r="A754" s="1">
        <v>195022166336</v>
      </c>
    </row>
    <row r="755" spans="1:1" x14ac:dyDescent="0.25">
      <c r="A755" s="1">
        <v>195022166190</v>
      </c>
    </row>
    <row r="756" spans="1:1" x14ac:dyDescent="0.25">
      <c r="A756" s="1">
        <v>195022166343</v>
      </c>
    </row>
    <row r="757" spans="1:1" x14ac:dyDescent="0.25">
      <c r="A757" s="1">
        <v>195022166206</v>
      </c>
    </row>
    <row r="758" spans="1:1" x14ac:dyDescent="0.25">
      <c r="A758" s="1">
        <v>195022166350</v>
      </c>
    </row>
    <row r="759" spans="1:1" x14ac:dyDescent="0.25">
      <c r="A759" s="1">
        <v>195022166213</v>
      </c>
    </row>
    <row r="760" spans="1:1" x14ac:dyDescent="0.25">
      <c r="A760" s="1">
        <v>195022166367</v>
      </c>
    </row>
    <row r="761" spans="1:1" x14ac:dyDescent="0.25">
      <c r="A761" s="1">
        <v>195022166220</v>
      </c>
    </row>
    <row r="762" spans="1:1" x14ac:dyDescent="0.25">
      <c r="A762" s="1">
        <v>195022166374</v>
      </c>
    </row>
    <row r="763" spans="1:1" x14ac:dyDescent="0.25">
      <c r="A763" s="1">
        <v>195022166237</v>
      </c>
    </row>
    <row r="764" spans="1:1" x14ac:dyDescent="0.25">
      <c r="A764" s="1">
        <v>195022166381</v>
      </c>
    </row>
    <row r="765" spans="1:1" x14ac:dyDescent="0.25">
      <c r="A765" s="1">
        <v>195022166244</v>
      </c>
    </row>
    <row r="766" spans="1:1" x14ac:dyDescent="0.25">
      <c r="A766" s="1">
        <v>195022166398</v>
      </c>
    </row>
    <row r="767" spans="1:1" x14ac:dyDescent="0.25">
      <c r="A767" s="1">
        <v>195022166251</v>
      </c>
    </row>
    <row r="768" spans="1:1" x14ac:dyDescent="0.25">
      <c r="A768" s="1">
        <v>195022166541</v>
      </c>
    </row>
    <row r="769" spans="1:1" x14ac:dyDescent="0.25">
      <c r="A769" s="1">
        <v>195022166404</v>
      </c>
    </row>
    <row r="770" spans="1:1" x14ac:dyDescent="0.25">
      <c r="A770" s="1">
        <v>195022166558</v>
      </c>
    </row>
    <row r="771" spans="1:1" x14ac:dyDescent="0.25">
      <c r="A771" s="1">
        <v>195022166411</v>
      </c>
    </row>
    <row r="772" spans="1:1" x14ac:dyDescent="0.25">
      <c r="A772" s="1">
        <v>195022166565</v>
      </c>
    </row>
    <row r="773" spans="1:1" x14ac:dyDescent="0.25">
      <c r="A773" s="1">
        <v>195022166428</v>
      </c>
    </row>
    <row r="774" spans="1:1" x14ac:dyDescent="0.25">
      <c r="A774" s="1">
        <v>195022166572</v>
      </c>
    </row>
    <row r="775" spans="1:1" x14ac:dyDescent="0.25">
      <c r="A775" s="1">
        <v>195022166435</v>
      </c>
    </row>
    <row r="776" spans="1:1" x14ac:dyDescent="0.25">
      <c r="A776" s="1">
        <v>195022166589</v>
      </c>
    </row>
    <row r="777" spans="1:1" x14ac:dyDescent="0.25">
      <c r="A777" s="1">
        <v>195022166442</v>
      </c>
    </row>
    <row r="778" spans="1:1" x14ac:dyDescent="0.25">
      <c r="A778" s="1">
        <v>195022166596</v>
      </c>
    </row>
    <row r="779" spans="1:1" x14ac:dyDescent="0.25">
      <c r="A779" s="1">
        <v>195022166459</v>
      </c>
    </row>
    <row r="780" spans="1:1" x14ac:dyDescent="0.25">
      <c r="A780" s="1">
        <v>195022166602</v>
      </c>
    </row>
    <row r="781" spans="1:1" x14ac:dyDescent="0.25">
      <c r="A781" s="1">
        <v>195022166466</v>
      </c>
    </row>
    <row r="782" spans="1:1" x14ac:dyDescent="0.25">
      <c r="A782" s="1">
        <v>195022166619</v>
      </c>
    </row>
    <row r="783" spans="1:1" x14ac:dyDescent="0.25">
      <c r="A783" s="1">
        <v>195022166473</v>
      </c>
    </row>
    <row r="784" spans="1:1" x14ac:dyDescent="0.25">
      <c r="A784" s="1">
        <v>195022166626</v>
      </c>
    </row>
    <row r="785" spans="1:1" x14ac:dyDescent="0.25">
      <c r="A785" s="1">
        <v>195022166480</v>
      </c>
    </row>
    <row r="786" spans="1:1" x14ac:dyDescent="0.25">
      <c r="A786" s="1">
        <v>195022166633</v>
      </c>
    </row>
    <row r="787" spans="1:1" x14ac:dyDescent="0.25">
      <c r="A787" s="1">
        <v>195022166497</v>
      </c>
    </row>
    <row r="788" spans="1:1" x14ac:dyDescent="0.25">
      <c r="A788" s="1">
        <v>195022166640</v>
      </c>
    </row>
    <row r="789" spans="1:1" x14ac:dyDescent="0.25">
      <c r="A789" s="1">
        <v>195022166503</v>
      </c>
    </row>
    <row r="790" spans="1:1" x14ac:dyDescent="0.25">
      <c r="A790" s="1">
        <v>195022166657</v>
      </c>
    </row>
    <row r="791" spans="1:1" x14ac:dyDescent="0.25">
      <c r="A791" s="1">
        <v>195022166510</v>
      </c>
    </row>
    <row r="792" spans="1:1" x14ac:dyDescent="0.25">
      <c r="A792" s="1">
        <v>195022166664</v>
      </c>
    </row>
    <row r="793" spans="1:1" x14ac:dyDescent="0.25">
      <c r="A793" s="1">
        <v>195022166527</v>
      </c>
    </row>
    <row r="794" spans="1:1" x14ac:dyDescent="0.25">
      <c r="A794" s="1">
        <v>195022166671</v>
      </c>
    </row>
    <row r="795" spans="1:1" x14ac:dyDescent="0.25">
      <c r="A795" s="1">
        <v>195022166534</v>
      </c>
    </row>
    <row r="796" spans="1:1" x14ac:dyDescent="0.25">
      <c r="A796" s="1">
        <v>195018760210</v>
      </c>
    </row>
    <row r="797" spans="1:1" x14ac:dyDescent="0.25">
      <c r="A797" s="1">
        <v>195018760074</v>
      </c>
    </row>
    <row r="798" spans="1:1" x14ac:dyDescent="0.25">
      <c r="A798" s="1">
        <v>195018760227</v>
      </c>
    </row>
    <row r="799" spans="1:1" x14ac:dyDescent="0.25">
      <c r="A799" s="1">
        <v>195018760081</v>
      </c>
    </row>
    <row r="800" spans="1:1" x14ac:dyDescent="0.25">
      <c r="A800" s="1">
        <v>195018760234</v>
      </c>
    </row>
    <row r="801" spans="1:1" x14ac:dyDescent="0.25">
      <c r="A801" s="1">
        <v>195018760098</v>
      </c>
    </row>
    <row r="802" spans="1:1" x14ac:dyDescent="0.25">
      <c r="A802" s="1">
        <v>195018760241</v>
      </c>
    </row>
    <row r="803" spans="1:1" x14ac:dyDescent="0.25">
      <c r="A803" s="1">
        <v>195018760104</v>
      </c>
    </row>
    <row r="804" spans="1:1" x14ac:dyDescent="0.25">
      <c r="A804" s="1">
        <v>195018760258</v>
      </c>
    </row>
    <row r="805" spans="1:1" x14ac:dyDescent="0.25">
      <c r="A805" s="1">
        <v>195018760111</v>
      </c>
    </row>
    <row r="806" spans="1:1" x14ac:dyDescent="0.25">
      <c r="A806" s="1">
        <v>195018760265</v>
      </c>
    </row>
    <row r="807" spans="1:1" x14ac:dyDescent="0.25">
      <c r="A807" s="1">
        <v>195018760128</v>
      </c>
    </row>
    <row r="808" spans="1:1" x14ac:dyDescent="0.25">
      <c r="A808" s="1">
        <v>195018760272</v>
      </c>
    </row>
    <row r="809" spans="1:1" x14ac:dyDescent="0.25">
      <c r="A809" s="1">
        <v>195018760135</v>
      </c>
    </row>
    <row r="810" spans="1:1" x14ac:dyDescent="0.25">
      <c r="A810" s="1">
        <v>195018760289</v>
      </c>
    </row>
    <row r="811" spans="1:1" x14ac:dyDescent="0.25">
      <c r="A811" s="1">
        <v>195018760142</v>
      </c>
    </row>
    <row r="812" spans="1:1" x14ac:dyDescent="0.25">
      <c r="A812" s="1">
        <v>195018760296</v>
      </c>
    </row>
    <row r="813" spans="1:1" x14ac:dyDescent="0.25">
      <c r="A813" s="1">
        <v>195018760159</v>
      </c>
    </row>
    <row r="814" spans="1:1" x14ac:dyDescent="0.25">
      <c r="A814" s="1">
        <v>195018760302</v>
      </c>
    </row>
    <row r="815" spans="1:1" x14ac:dyDescent="0.25">
      <c r="A815" s="1">
        <v>195018760166</v>
      </c>
    </row>
    <row r="816" spans="1:1" x14ac:dyDescent="0.25">
      <c r="A816" s="1">
        <v>195018760319</v>
      </c>
    </row>
    <row r="817" spans="1:1" x14ac:dyDescent="0.25">
      <c r="A817" s="1">
        <v>195018760173</v>
      </c>
    </row>
    <row r="818" spans="1:1" x14ac:dyDescent="0.25">
      <c r="A818" s="1">
        <v>195018760326</v>
      </c>
    </row>
    <row r="819" spans="1:1" x14ac:dyDescent="0.25">
      <c r="A819" s="1">
        <v>195018760180</v>
      </c>
    </row>
    <row r="820" spans="1:1" x14ac:dyDescent="0.25">
      <c r="A820" s="1">
        <v>195018760333</v>
      </c>
    </row>
    <row r="821" spans="1:1" x14ac:dyDescent="0.25">
      <c r="A821" s="1">
        <v>195018760197</v>
      </c>
    </row>
    <row r="822" spans="1:1" x14ac:dyDescent="0.25">
      <c r="A822" s="1">
        <v>195018760340</v>
      </c>
    </row>
    <row r="823" spans="1:1" x14ac:dyDescent="0.25">
      <c r="A823" s="1">
        <v>195018760203</v>
      </c>
    </row>
    <row r="824" spans="1:1" x14ac:dyDescent="0.25">
      <c r="A824" s="1">
        <v>195020815755</v>
      </c>
    </row>
    <row r="825" spans="1:1" x14ac:dyDescent="0.25">
      <c r="A825" s="1">
        <v>195020815694</v>
      </c>
    </row>
    <row r="826" spans="1:1" x14ac:dyDescent="0.25">
      <c r="A826" s="1">
        <v>195020815762</v>
      </c>
    </row>
    <row r="827" spans="1:1" x14ac:dyDescent="0.25">
      <c r="A827" s="1">
        <v>195020815700</v>
      </c>
    </row>
    <row r="828" spans="1:1" x14ac:dyDescent="0.25">
      <c r="A828" s="1">
        <v>195019257252</v>
      </c>
    </row>
    <row r="829" spans="1:1" x14ac:dyDescent="0.25">
      <c r="A829" s="1">
        <v>195020815717</v>
      </c>
    </row>
    <row r="830" spans="1:1" x14ac:dyDescent="0.25">
      <c r="A830" s="1">
        <v>195019257269</v>
      </c>
    </row>
    <row r="831" spans="1:1" x14ac:dyDescent="0.25">
      <c r="A831" s="1">
        <v>195020815724</v>
      </c>
    </row>
    <row r="832" spans="1:1" x14ac:dyDescent="0.25">
      <c r="A832" s="1">
        <v>195019257276</v>
      </c>
    </row>
    <row r="833" spans="1:1" x14ac:dyDescent="0.25">
      <c r="A833" s="1">
        <v>195020815731</v>
      </c>
    </row>
    <row r="834" spans="1:1" x14ac:dyDescent="0.25">
      <c r="A834" s="1">
        <v>195019257283</v>
      </c>
    </row>
    <row r="835" spans="1:1" x14ac:dyDescent="0.25">
      <c r="A835" s="1">
        <v>195020815748</v>
      </c>
    </row>
    <row r="836" spans="1:1" x14ac:dyDescent="0.25">
      <c r="A836" s="1">
        <v>195018760494</v>
      </c>
    </row>
    <row r="837" spans="1:1" x14ac:dyDescent="0.25">
      <c r="A837" s="1">
        <v>195018760357</v>
      </c>
    </row>
    <row r="838" spans="1:1" x14ac:dyDescent="0.25">
      <c r="A838" s="1">
        <v>195018760500</v>
      </c>
    </row>
    <row r="839" spans="1:1" x14ac:dyDescent="0.25">
      <c r="A839" s="1">
        <v>195018760364</v>
      </c>
    </row>
    <row r="840" spans="1:1" x14ac:dyDescent="0.25">
      <c r="A840" s="1">
        <v>195018760517</v>
      </c>
    </row>
    <row r="841" spans="1:1" x14ac:dyDescent="0.25">
      <c r="A841" s="1">
        <v>195018760371</v>
      </c>
    </row>
    <row r="842" spans="1:1" x14ac:dyDescent="0.25">
      <c r="A842" s="1">
        <v>195018760524</v>
      </c>
    </row>
    <row r="843" spans="1:1" x14ac:dyDescent="0.25">
      <c r="A843" s="1">
        <v>195018760388</v>
      </c>
    </row>
    <row r="844" spans="1:1" x14ac:dyDescent="0.25">
      <c r="A844" s="1">
        <v>195018760531</v>
      </c>
    </row>
    <row r="845" spans="1:1" x14ac:dyDescent="0.25">
      <c r="A845" s="1">
        <v>195018760395</v>
      </c>
    </row>
    <row r="846" spans="1:1" x14ac:dyDescent="0.25">
      <c r="A846" s="1">
        <v>195018760548</v>
      </c>
    </row>
    <row r="847" spans="1:1" x14ac:dyDescent="0.25">
      <c r="A847" s="1">
        <v>195018760401</v>
      </c>
    </row>
    <row r="848" spans="1:1" x14ac:dyDescent="0.25">
      <c r="A848" s="1">
        <v>195018760555</v>
      </c>
    </row>
    <row r="849" spans="1:1" x14ac:dyDescent="0.25">
      <c r="A849" s="1">
        <v>195018760418</v>
      </c>
    </row>
    <row r="850" spans="1:1" x14ac:dyDescent="0.25">
      <c r="A850" s="1">
        <v>195018760562</v>
      </c>
    </row>
    <row r="851" spans="1:1" x14ac:dyDescent="0.25">
      <c r="A851" s="1">
        <v>195018760425</v>
      </c>
    </row>
    <row r="852" spans="1:1" x14ac:dyDescent="0.25">
      <c r="A852" s="1">
        <v>195018760579</v>
      </c>
    </row>
    <row r="853" spans="1:1" x14ac:dyDescent="0.25">
      <c r="A853" s="1">
        <v>195018760432</v>
      </c>
    </row>
    <row r="854" spans="1:1" x14ac:dyDescent="0.25">
      <c r="A854" s="1">
        <v>195018760586</v>
      </c>
    </row>
    <row r="855" spans="1:1" x14ac:dyDescent="0.25">
      <c r="A855" s="1">
        <v>195018760449</v>
      </c>
    </row>
    <row r="856" spans="1:1" x14ac:dyDescent="0.25">
      <c r="A856" s="1">
        <v>195018760593</v>
      </c>
    </row>
    <row r="857" spans="1:1" x14ac:dyDescent="0.25">
      <c r="A857" s="1">
        <v>195018760456</v>
      </c>
    </row>
    <row r="858" spans="1:1" x14ac:dyDescent="0.25">
      <c r="A858" s="1">
        <v>195018760609</v>
      </c>
    </row>
    <row r="859" spans="1:1" x14ac:dyDescent="0.25">
      <c r="A859" s="1">
        <v>195018760463</v>
      </c>
    </row>
    <row r="860" spans="1:1" x14ac:dyDescent="0.25">
      <c r="A860" s="1">
        <v>195018760616</v>
      </c>
    </row>
    <row r="861" spans="1:1" x14ac:dyDescent="0.25">
      <c r="A861" s="1">
        <v>195018760470</v>
      </c>
    </row>
    <row r="862" spans="1:1" x14ac:dyDescent="0.25">
      <c r="A862" s="1">
        <v>195018760623</v>
      </c>
    </row>
    <row r="863" spans="1:1" x14ac:dyDescent="0.25">
      <c r="A863" s="1">
        <v>195018760487</v>
      </c>
    </row>
    <row r="864" spans="1:1" x14ac:dyDescent="0.25">
      <c r="A864" s="1">
        <v>195018761996</v>
      </c>
    </row>
    <row r="865" spans="1:1" x14ac:dyDescent="0.25">
      <c r="A865" s="1">
        <v>195018762009</v>
      </c>
    </row>
    <row r="866" spans="1:1" x14ac:dyDescent="0.25">
      <c r="A866" s="1">
        <v>195018762016</v>
      </c>
    </row>
    <row r="867" spans="1:1" x14ac:dyDescent="0.25">
      <c r="A867" s="1">
        <v>195018762023</v>
      </c>
    </row>
    <row r="868" spans="1:1" x14ac:dyDescent="0.25">
      <c r="A868" s="1">
        <v>195018762030</v>
      </c>
    </row>
    <row r="869" spans="1:1" x14ac:dyDescent="0.25">
      <c r="A869" s="1">
        <v>195018762047</v>
      </c>
    </row>
    <row r="870" spans="1:1" x14ac:dyDescent="0.25">
      <c r="A870" s="1">
        <v>195018762054</v>
      </c>
    </row>
    <row r="871" spans="1:1" x14ac:dyDescent="0.25">
      <c r="A871" s="1">
        <v>195018762061</v>
      </c>
    </row>
    <row r="872" spans="1:1" x14ac:dyDescent="0.25">
      <c r="A872" s="1">
        <v>195018762078</v>
      </c>
    </row>
    <row r="873" spans="1:1" x14ac:dyDescent="0.25">
      <c r="A873" s="1">
        <v>195018762085</v>
      </c>
    </row>
    <row r="874" spans="1:1" x14ac:dyDescent="0.25">
      <c r="A874" s="1">
        <v>195018762092</v>
      </c>
    </row>
    <row r="875" spans="1:1" x14ac:dyDescent="0.25">
      <c r="A875" s="1">
        <v>195018762108</v>
      </c>
    </row>
    <row r="876" spans="1:1" x14ac:dyDescent="0.25">
      <c r="A876" s="1">
        <v>195018762115</v>
      </c>
    </row>
    <row r="877" spans="1:1" x14ac:dyDescent="0.25">
      <c r="A877" s="1">
        <v>195018762122</v>
      </c>
    </row>
    <row r="878" spans="1:1" x14ac:dyDescent="0.25">
      <c r="A878" s="1">
        <v>195018762139</v>
      </c>
    </row>
    <row r="879" spans="1:1" x14ac:dyDescent="0.25">
      <c r="A879" s="1">
        <v>195018762146</v>
      </c>
    </row>
    <row r="880" spans="1:1" x14ac:dyDescent="0.25">
      <c r="A880" s="1">
        <v>195018762153</v>
      </c>
    </row>
    <row r="881" spans="1:1" x14ac:dyDescent="0.25">
      <c r="A881" s="1">
        <v>195018762160</v>
      </c>
    </row>
    <row r="882" spans="1:1" x14ac:dyDescent="0.25">
      <c r="A882" s="1">
        <v>195018762177</v>
      </c>
    </row>
    <row r="883" spans="1:1" x14ac:dyDescent="0.25">
      <c r="A883" s="1">
        <v>195018762184</v>
      </c>
    </row>
    <row r="884" spans="1:1" x14ac:dyDescent="0.25">
      <c r="A884" s="1">
        <v>195018762191</v>
      </c>
    </row>
    <row r="885" spans="1:1" x14ac:dyDescent="0.25">
      <c r="A885" s="1">
        <v>195018762207</v>
      </c>
    </row>
    <row r="886" spans="1:1" x14ac:dyDescent="0.25">
      <c r="A886" s="1">
        <v>195018762214</v>
      </c>
    </row>
    <row r="887" spans="1:1" x14ac:dyDescent="0.25">
      <c r="A887" s="1">
        <v>195018762221</v>
      </c>
    </row>
    <row r="888" spans="1:1" x14ac:dyDescent="0.25">
      <c r="A888" s="1">
        <v>886129941284</v>
      </c>
    </row>
    <row r="889" spans="1:1" x14ac:dyDescent="0.25">
      <c r="A889" s="1">
        <v>886129941291</v>
      </c>
    </row>
    <row r="890" spans="1:1" x14ac:dyDescent="0.25">
      <c r="A890" s="1">
        <v>886129941307</v>
      </c>
    </row>
    <row r="891" spans="1:1" x14ac:dyDescent="0.25">
      <c r="A891" s="1">
        <v>886129941314</v>
      </c>
    </row>
    <row r="892" spans="1:1" x14ac:dyDescent="0.25">
      <c r="A892" s="1">
        <v>886129941321</v>
      </c>
    </row>
    <row r="893" spans="1:1" x14ac:dyDescent="0.25">
      <c r="A893" s="1">
        <v>886129941338</v>
      </c>
    </row>
    <row r="894" spans="1:1" x14ac:dyDescent="0.25">
      <c r="A894" s="1">
        <v>884547403094</v>
      </c>
    </row>
    <row r="895" spans="1:1" x14ac:dyDescent="0.25">
      <c r="A895" s="1">
        <v>884547402967</v>
      </c>
    </row>
    <row r="896" spans="1:1" x14ac:dyDescent="0.25">
      <c r="A896" s="1">
        <v>884547403100</v>
      </c>
    </row>
    <row r="897" spans="1:1" x14ac:dyDescent="0.25">
      <c r="A897" s="1">
        <v>884547402974</v>
      </c>
    </row>
    <row r="898" spans="1:1" x14ac:dyDescent="0.25">
      <c r="A898" s="1">
        <v>884547403117</v>
      </c>
    </row>
    <row r="899" spans="1:1" x14ac:dyDescent="0.25">
      <c r="A899" s="1">
        <v>884547402981</v>
      </c>
    </row>
    <row r="900" spans="1:1" x14ac:dyDescent="0.25">
      <c r="A900" s="1">
        <v>884547403124</v>
      </c>
    </row>
    <row r="901" spans="1:1" x14ac:dyDescent="0.25">
      <c r="A901" s="1">
        <v>884547402998</v>
      </c>
    </row>
    <row r="902" spans="1:1" x14ac:dyDescent="0.25">
      <c r="A902" s="1">
        <v>884547403131</v>
      </c>
    </row>
    <row r="903" spans="1:1" x14ac:dyDescent="0.25">
      <c r="A903" s="1">
        <v>884547403001</v>
      </c>
    </row>
    <row r="904" spans="1:1" x14ac:dyDescent="0.25">
      <c r="A904" s="1">
        <v>884547403148</v>
      </c>
    </row>
    <row r="905" spans="1:1" x14ac:dyDescent="0.25">
      <c r="A905" s="1">
        <v>884547403018</v>
      </c>
    </row>
    <row r="906" spans="1:1" x14ac:dyDescent="0.25">
      <c r="A906" s="1">
        <v>884547403155</v>
      </c>
    </row>
    <row r="907" spans="1:1" x14ac:dyDescent="0.25">
      <c r="A907" s="1">
        <v>884547403025</v>
      </c>
    </row>
    <row r="908" spans="1:1" x14ac:dyDescent="0.25">
      <c r="A908" s="1">
        <v>884547403162</v>
      </c>
    </row>
    <row r="909" spans="1:1" x14ac:dyDescent="0.25">
      <c r="A909" s="1">
        <v>884547403032</v>
      </c>
    </row>
    <row r="910" spans="1:1" x14ac:dyDescent="0.25">
      <c r="A910" s="1">
        <v>884547403179</v>
      </c>
    </row>
    <row r="911" spans="1:1" x14ac:dyDescent="0.25">
      <c r="A911" s="1">
        <v>884547403049</v>
      </c>
    </row>
    <row r="912" spans="1:1" x14ac:dyDescent="0.25">
      <c r="A912" s="1">
        <v>884547403186</v>
      </c>
    </row>
    <row r="913" spans="1:1" x14ac:dyDescent="0.25">
      <c r="A913" s="1">
        <v>884547403056</v>
      </c>
    </row>
    <row r="914" spans="1:1" x14ac:dyDescent="0.25">
      <c r="A914" s="1">
        <v>884547403193</v>
      </c>
    </row>
    <row r="915" spans="1:1" x14ac:dyDescent="0.25">
      <c r="A915" s="1">
        <v>884547403063</v>
      </c>
    </row>
    <row r="916" spans="1:1" x14ac:dyDescent="0.25">
      <c r="A916" s="1">
        <v>884547403209</v>
      </c>
    </row>
    <row r="917" spans="1:1" x14ac:dyDescent="0.25">
      <c r="A917" s="1">
        <v>884547403070</v>
      </c>
    </row>
    <row r="918" spans="1:1" x14ac:dyDescent="0.25">
      <c r="A918" s="1">
        <v>884547403216</v>
      </c>
    </row>
    <row r="919" spans="1:1" x14ac:dyDescent="0.25">
      <c r="A919" s="1">
        <v>884547403087</v>
      </c>
    </row>
    <row r="920" spans="1:1" x14ac:dyDescent="0.25">
      <c r="A920" s="1">
        <v>884547403223</v>
      </c>
    </row>
    <row r="921" spans="1:1" x14ac:dyDescent="0.25">
      <c r="A921" s="1">
        <v>886129941369</v>
      </c>
    </row>
    <row r="922" spans="1:1" x14ac:dyDescent="0.25">
      <c r="A922" s="1">
        <v>886129941345</v>
      </c>
    </row>
    <row r="923" spans="1:1" x14ac:dyDescent="0.25">
      <c r="A923" s="1">
        <v>194917460894</v>
      </c>
    </row>
    <row r="924" spans="1:1" x14ac:dyDescent="0.25">
      <c r="A924" s="1">
        <v>194917461006</v>
      </c>
    </row>
    <row r="925" spans="1:1" x14ac:dyDescent="0.25">
      <c r="A925" s="1">
        <v>194917460900</v>
      </c>
    </row>
    <row r="926" spans="1:1" x14ac:dyDescent="0.25">
      <c r="A926" s="1">
        <v>194917461013</v>
      </c>
    </row>
    <row r="927" spans="1:1" x14ac:dyDescent="0.25">
      <c r="A927" s="1">
        <v>194917460917</v>
      </c>
    </row>
    <row r="928" spans="1:1" x14ac:dyDescent="0.25">
      <c r="A928" s="1">
        <v>194917461020</v>
      </c>
    </row>
    <row r="929" spans="1:1" x14ac:dyDescent="0.25">
      <c r="A929" s="1">
        <v>194917460924</v>
      </c>
    </row>
    <row r="930" spans="1:1" x14ac:dyDescent="0.25">
      <c r="A930" s="1">
        <v>194917461037</v>
      </c>
    </row>
    <row r="931" spans="1:1" x14ac:dyDescent="0.25">
      <c r="A931" s="1">
        <v>194917460931</v>
      </c>
    </row>
    <row r="932" spans="1:1" x14ac:dyDescent="0.25">
      <c r="A932" s="1">
        <v>194917461044</v>
      </c>
    </row>
    <row r="933" spans="1:1" x14ac:dyDescent="0.25">
      <c r="A933" s="1">
        <v>194917460948</v>
      </c>
    </row>
    <row r="934" spans="1:1" x14ac:dyDescent="0.25">
      <c r="A934" s="1">
        <v>194917461051</v>
      </c>
    </row>
    <row r="935" spans="1:1" x14ac:dyDescent="0.25">
      <c r="A935" s="1">
        <v>194917460955</v>
      </c>
    </row>
    <row r="936" spans="1:1" x14ac:dyDescent="0.25">
      <c r="A936" s="1">
        <v>194917461068</v>
      </c>
    </row>
    <row r="937" spans="1:1" x14ac:dyDescent="0.25">
      <c r="A937" s="1">
        <v>194917460962</v>
      </c>
    </row>
    <row r="938" spans="1:1" x14ac:dyDescent="0.25">
      <c r="A938" s="1">
        <v>194917461075</v>
      </c>
    </row>
    <row r="939" spans="1:1" x14ac:dyDescent="0.25">
      <c r="A939" s="1">
        <v>194917460979</v>
      </c>
    </row>
    <row r="940" spans="1:1" x14ac:dyDescent="0.25">
      <c r="A940" s="1">
        <v>194917461082</v>
      </c>
    </row>
    <row r="941" spans="1:1" x14ac:dyDescent="0.25">
      <c r="A941" s="1">
        <v>194917460986</v>
      </c>
    </row>
    <row r="942" spans="1:1" x14ac:dyDescent="0.25">
      <c r="A942" s="1">
        <v>194917461099</v>
      </c>
    </row>
    <row r="943" spans="1:1" x14ac:dyDescent="0.25">
      <c r="A943" s="1">
        <v>194917460993</v>
      </c>
    </row>
    <row r="944" spans="1:1" x14ac:dyDescent="0.25">
      <c r="A944" s="1">
        <v>194917461105</v>
      </c>
    </row>
    <row r="945" spans="1:1" x14ac:dyDescent="0.25">
      <c r="A945" s="1">
        <v>194917461358</v>
      </c>
    </row>
    <row r="946" spans="1:1" x14ac:dyDescent="0.25">
      <c r="A946" s="1">
        <v>194917461365</v>
      </c>
    </row>
    <row r="947" spans="1:1" x14ac:dyDescent="0.25">
      <c r="A947" s="1">
        <v>195019102835</v>
      </c>
    </row>
    <row r="948" spans="1:1" x14ac:dyDescent="0.25">
      <c r="A948" s="1">
        <v>195019102842</v>
      </c>
    </row>
    <row r="949" spans="1:1" x14ac:dyDescent="0.25">
      <c r="A949" s="1">
        <v>194917461112</v>
      </c>
    </row>
    <row r="950" spans="1:1" x14ac:dyDescent="0.25">
      <c r="A950" s="1">
        <v>194917461235</v>
      </c>
    </row>
    <row r="951" spans="1:1" x14ac:dyDescent="0.25">
      <c r="A951" s="1">
        <v>194917461129</v>
      </c>
    </row>
    <row r="952" spans="1:1" x14ac:dyDescent="0.25">
      <c r="A952" s="1">
        <v>194917461242</v>
      </c>
    </row>
    <row r="953" spans="1:1" x14ac:dyDescent="0.25">
      <c r="A953" s="1">
        <v>194917461136</v>
      </c>
    </row>
    <row r="954" spans="1:1" x14ac:dyDescent="0.25">
      <c r="A954" s="1">
        <v>194917461259</v>
      </c>
    </row>
    <row r="955" spans="1:1" x14ac:dyDescent="0.25">
      <c r="A955" s="1">
        <v>194917461143</v>
      </c>
    </row>
    <row r="956" spans="1:1" x14ac:dyDescent="0.25">
      <c r="A956" s="1">
        <v>194917461266</v>
      </c>
    </row>
    <row r="957" spans="1:1" x14ac:dyDescent="0.25">
      <c r="A957" s="1">
        <v>194917461150</v>
      </c>
    </row>
    <row r="958" spans="1:1" x14ac:dyDescent="0.25">
      <c r="A958" s="1">
        <v>194917461273</v>
      </c>
    </row>
    <row r="959" spans="1:1" x14ac:dyDescent="0.25">
      <c r="A959" s="1">
        <v>194917461167</v>
      </c>
    </row>
    <row r="960" spans="1:1" x14ac:dyDescent="0.25">
      <c r="A960" s="1">
        <v>194917461280</v>
      </c>
    </row>
    <row r="961" spans="1:1" x14ac:dyDescent="0.25">
      <c r="A961" s="1">
        <v>194917461174</v>
      </c>
    </row>
    <row r="962" spans="1:1" x14ac:dyDescent="0.25">
      <c r="A962" s="1">
        <v>194917461297</v>
      </c>
    </row>
    <row r="963" spans="1:1" x14ac:dyDescent="0.25">
      <c r="A963" s="1">
        <v>194917461181</v>
      </c>
    </row>
    <row r="964" spans="1:1" x14ac:dyDescent="0.25">
      <c r="A964" s="1">
        <v>194917461303</v>
      </c>
    </row>
    <row r="965" spans="1:1" x14ac:dyDescent="0.25">
      <c r="A965" s="1">
        <v>194917461198</v>
      </c>
    </row>
    <row r="966" spans="1:1" x14ac:dyDescent="0.25">
      <c r="A966" s="1">
        <v>194917461310</v>
      </c>
    </row>
    <row r="967" spans="1:1" x14ac:dyDescent="0.25">
      <c r="A967" s="1">
        <v>194917461204</v>
      </c>
    </row>
    <row r="968" spans="1:1" x14ac:dyDescent="0.25">
      <c r="A968" s="1">
        <v>194917461327</v>
      </c>
    </row>
    <row r="969" spans="1:1" x14ac:dyDescent="0.25">
      <c r="A969" s="1">
        <v>194917461211</v>
      </c>
    </row>
    <row r="970" spans="1:1" x14ac:dyDescent="0.25">
      <c r="A970" s="1">
        <v>194917461334</v>
      </c>
    </row>
    <row r="971" spans="1:1" x14ac:dyDescent="0.25">
      <c r="A971" s="1">
        <v>194917461228</v>
      </c>
    </row>
    <row r="972" spans="1:1" x14ac:dyDescent="0.25">
      <c r="A972" s="1">
        <v>194917461341</v>
      </c>
    </row>
    <row r="973" spans="1:1" x14ac:dyDescent="0.25">
      <c r="A973" s="1">
        <v>195019102859</v>
      </c>
    </row>
    <row r="974" spans="1:1" x14ac:dyDescent="0.25">
      <c r="A974" s="1">
        <v>195019102866</v>
      </c>
    </row>
    <row r="975" spans="1:1" x14ac:dyDescent="0.25">
      <c r="A975" s="1">
        <v>195018760777</v>
      </c>
    </row>
    <row r="976" spans="1:1" x14ac:dyDescent="0.25">
      <c r="A976" s="1">
        <v>195018760630</v>
      </c>
    </row>
    <row r="977" spans="1:1" x14ac:dyDescent="0.25">
      <c r="A977" s="1">
        <v>195018760784</v>
      </c>
    </row>
    <row r="978" spans="1:1" x14ac:dyDescent="0.25">
      <c r="A978" s="1">
        <v>195018760647</v>
      </c>
    </row>
    <row r="979" spans="1:1" x14ac:dyDescent="0.25">
      <c r="A979" s="1">
        <v>195018760791</v>
      </c>
    </row>
    <row r="980" spans="1:1" x14ac:dyDescent="0.25">
      <c r="A980" s="1">
        <v>195018760654</v>
      </c>
    </row>
    <row r="981" spans="1:1" x14ac:dyDescent="0.25">
      <c r="A981" s="1">
        <v>195018760807</v>
      </c>
    </row>
    <row r="982" spans="1:1" x14ac:dyDescent="0.25">
      <c r="A982" s="1">
        <v>195018760661</v>
      </c>
    </row>
    <row r="983" spans="1:1" x14ac:dyDescent="0.25">
      <c r="A983" s="1">
        <v>195018760814</v>
      </c>
    </row>
    <row r="984" spans="1:1" x14ac:dyDescent="0.25">
      <c r="A984" s="1">
        <v>195018760678</v>
      </c>
    </row>
    <row r="985" spans="1:1" x14ac:dyDescent="0.25">
      <c r="A985" s="1">
        <v>195018760821</v>
      </c>
    </row>
    <row r="986" spans="1:1" x14ac:dyDescent="0.25">
      <c r="A986" s="1">
        <v>195018760685</v>
      </c>
    </row>
    <row r="987" spans="1:1" x14ac:dyDescent="0.25">
      <c r="A987" s="1">
        <v>195018760838</v>
      </c>
    </row>
    <row r="988" spans="1:1" x14ac:dyDescent="0.25">
      <c r="A988" s="1">
        <v>195018760692</v>
      </c>
    </row>
    <row r="989" spans="1:1" x14ac:dyDescent="0.25">
      <c r="A989" s="1">
        <v>195018760845</v>
      </c>
    </row>
    <row r="990" spans="1:1" x14ac:dyDescent="0.25">
      <c r="A990" s="1">
        <v>195018760708</v>
      </c>
    </row>
    <row r="991" spans="1:1" x14ac:dyDescent="0.25">
      <c r="A991" s="1">
        <v>195018760852</v>
      </c>
    </row>
    <row r="992" spans="1:1" x14ac:dyDescent="0.25">
      <c r="A992" s="1">
        <v>195018760715</v>
      </c>
    </row>
    <row r="993" spans="1:1" x14ac:dyDescent="0.25">
      <c r="A993" s="1">
        <v>195018760869</v>
      </c>
    </row>
    <row r="994" spans="1:1" x14ac:dyDescent="0.25">
      <c r="A994" s="1">
        <v>195018760722</v>
      </c>
    </row>
    <row r="995" spans="1:1" x14ac:dyDescent="0.25">
      <c r="A995" s="1">
        <v>195018760876</v>
      </c>
    </row>
    <row r="996" spans="1:1" x14ac:dyDescent="0.25">
      <c r="A996" s="1">
        <v>195018760739</v>
      </c>
    </row>
    <row r="997" spans="1:1" x14ac:dyDescent="0.25">
      <c r="A997" s="1">
        <v>195018760883</v>
      </c>
    </row>
    <row r="998" spans="1:1" x14ac:dyDescent="0.25">
      <c r="A998" s="1">
        <v>195018760746</v>
      </c>
    </row>
    <row r="999" spans="1:1" x14ac:dyDescent="0.25">
      <c r="A999" s="1">
        <v>195018760890</v>
      </c>
    </row>
    <row r="1000" spans="1:1" x14ac:dyDescent="0.25">
      <c r="A1000" s="1">
        <v>195018760753</v>
      </c>
    </row>
    <row r="1001" spans="1:1" x14ac:dyDescent="0.25">
      <c r="A1001" s="1">
        <v>195018760906</v>
      </c>
    </row>
    <row r="1002" spans="1:1" x14ac:dyDescent="0.25">
      <c r="A1002" s="1">
        <v>195018760760</v>
      </c>
    </row>
    <row r="1003" spans="1:1" x14ac:dyDescent="0.25">
      <c r="A1003" s="1">
        <v>195018761057</v>
      </c>
    </row>
    <row r="1004" spans="1:1" x14ac:dyDescent="0.25">
      <c r="A1004" s="1">
        <v>195018760913</v>
      </c>
    </row>
    <row r="1005" spans="1:1" x14ac:dyDescent="0.25">
      <c r="A1005" s="1">
        <v>195018761064</v>
      </c>
    </row>
    <row r="1006" spans="1:1" x14ac:dyDescent="0.25">
      <c r="A1006" s="1">
        <v>195018760920</v>
      </c>
    </row>
    <row r="1007" spans="1:1" x14ac:dyDescent="0.25">
      <c r="A1007" s="1">
        <v>195018761071</v>
      </c>
    </row>
    <row r="1008" spans="1:1" x14ac:dyDescent="0.25">
      <c r="A1008" s="1">
        <v>195018760937</v>
      </c>
    </row>
    <row r="1009" spans="1:1" x14ac:dyDescent="0.25">
      <c r="A1009" s="1">
        <v>195018761088</v>
      </c>
    </row>
    <row r="1010" spans="1:1" x14ac:dyDescent="0.25">
      <c r="A1010" s="1">
        <v>195018760944</v>
      </c>
    </row>
    <row r="1011" spans="1:1" x14ac:dyDescent="0.25">
      <c r="A1011" s="1">
        <v>195018761095</v>
      </c>
    </row>
    <row r="1012" spans="1:1" x14ac:dyDescent="0.25">
      <c r="A1012" s="1">
        <v>195018760951</v>
      </c>
    </row>
    <row r="1013" spans="1:1" x14ac:dyDescent="0.25">
      <c r="A1013" s="1">
        <v>195018761101</v>
      </c>
    </row>
    <row r="1014" spans="1:1" x14ac:dyDescent="0.25">
      <c r="A1014" s="1">
        <v>195018760968</v>
      </c>
    </row>
    <row r="1015" spans="1:1" x14ac:dyDescent="0.25">
      <c r="A1015" s="1">
        <v>195018761118</v>
      </c>
    </row>
    <row r="1016" spans="1:1" x14ac:dyDescent="0.25">
      <c r="A1016" s="1">
        <v>195018760975</v>
      </c>
    </row>
    <row r="1017" spans="1:1" x14ac:dyDescent="0.25">
      <c r="A1017" s="1">
        <v>195018761125</v>
      </c>
    </row>
    <row r="1018" spans="1:1" x14ac:dyDescent="0.25">
      <c r="A1018" s="1">
        <v>195018760982</v>
      </c>
    </row>
    <row r="1019" spans="1:1" x14ac:dyDescent="0.25">
      <c r="A1019" s="1">
        <v>195018761132</v>
      </c>
    </row>
    <row r="1020" spans="1:1" x14ac:dyDescent="0.25">
      <c r="A1020" s="1">
        <v>195018760999</v>
      </c>
    </row>
    <row r="1021" spans="1:1" x14ac:dyDescent="0.25">
      <c r="A1021" s="1">
        <v>195018761149</v>
      </c>
    </row>
    <row r="1022" spans="1:1" x14ac:dyDescent="0.25">
      <c r="A1022" s="1">
        <v>195018761002</v>
      </c>
    </row>
    <row r="1023" spans="1:1" x14ac:dyDescent="0.25">
      <c r="A1023" s="1">
        <v>195018761156</v>
      </c>
    </row>
    <row r="1024" spans="1:1" x14ac:dyDescent="0.25">
      <c r="A1024" s="1">
        <v>195018761019</v>
      </c>
    </row>
    <row r="1025" spans="1:1" x14ac:dyDescent="0.25">
      <c r="A1025" s="1">
        <v>195018761163</v>
      </c>
    </row>
    <row r="1026" spans="1:1" x14ac:dyDescent="0.25">
      <c r="A1026" s="1">
        <v>195018761026</v>
      </c>
    </row>
    <row r="1027" spans="1:1" x14ac:dyDescent="0.25">
      <c r="A1027" s="1">
        <v>195018761170</v>
      </c>
    </row>
    <row r="1028" spans="1:1" x14ac:dyDescent="0.25">
      <c r="A1028" s="1">
        <v>195018761033</v>
      </c>
    </row>
    <row r="1029" spans="1:1" x14ac:dyDescent="0.25">
      <c r="A1029" s="1">
        <v>195018761187</v>
      </c>
    </row>
    <row r="1030" spans="1:1" x14ac:dyDescent="0.25">
      <c r="A1030" s="1">
        <v>195018761040</v>
      </c>
    </row>
    <row r="1031" spans="1:1" x14ac:dyDescent="0.25">
      <c r="A1031" s="1">
        <v>195018761330</v>
      </c>
    </row>
    <row r="1032" spans="1:1" x14ac:dyDescent="0.25">
      <c r="A1032" s="1">
        <v>195018761194</v>
      </c>
    </row>
    <row r="1033" spans="1:1" x14ac:dyDescent="0.25">
      <c r="A1033" s="1">
        <v>195018761347</v>
      </c>
    </row>
    <row r="1034" spans="1:1" x14ac:dyDescent="0.25">
      <c r="A1034" s="1">
        <v>195018761200</v>
      </c>
    </row>
    <row r="1035" spans="1:1" x14ac:dyDescent="0.25">
      <c r="A1035" s="1">
        <v>195018761354</v>
      </c>
    </row>
    <row r="1036" spans="1:1" x14ac:dyDescent="0.25">
      <c r="A1036" s="1">
        <v>195018761217</v>
      </c>
    </row>
    <row r="1037" spans="1:1" x14ac:dyDescent="0.25">
      <c r="A1037" s="1">
        <v>195018761361</v>
      </c>
    </row>
    <row r="1038" spans="1:1" x14ac:dyDescent="0.25">
      <c r="A1038" s="1">
        <v>195018761224</v>
      </c>
    </row>
    <row r="1039" spans="1:1" x14ac:dyDescent="0.25">
      <c r="A1039" s="1">
        <v>195018761378</v>
      </c>
    </row>
    <row r="1040" spans="1:1" x14ac:dyDescent="0.25">
      <c r="A1040" s="1">
        <v>195018761231</v>
      </c>
    </row>
    <row r="1041" spans="1:1" x14ac:dyDescent="0.25">
      <c r="A1041" s="1">
        <v>195018761385</v>
      </c>
    </row>
    <row r="1042" spans="1:1" x14ac:dyDescent="0.25">
      <c r="A1042" s="1">
        <v>195018761248</v>
      </c>
    </row>
    <row r="1043" spans="1:1" x14ac:dyDescent="0.25">
      <c r="A1043" s="1">
        <v>195018761392</v>
      </c>
    </row>
    <row r="1044" spans="1:1" x14ac:dyDescent="0.25">
      <c r="A1044" s="1">
        <v>195018761255</v>
      </c>
    </row>
    <row r="1045" spans="1:1" x14ac:dyDescent="0.25">
      <c r="A1045" s="1">
        <v>195018761408</v>
      </c>
    </row>
    <row r="1046" spans="1:1" x14ac:dyDescent="0.25">
      <c r="A1046" s="1">
        <v>195018761262</v>
      </c>
    </row>
    <row r="1047" spans="1:1" x14ac:dyDescent="0.25">
      <c r="A1047" s="1">
        <v>195018761415</v>
      </c>
    </row>
    <row r="1048" spans="1:1" x14ac:dyDescent="0.25">
      <c r="A1048" s="1">
        <v>195018761279</v>
      </c>
    </row>
    <row r="1049" spans="1:1" x14ac:dyDescent="0.25">
      <c r="A1049" s="1">
        <v>195018761422</v>
      </c>
    </row>
    <row r="1050" spans="1:1" x14ac:dyDescent="0.25">
      <c r="A1050" s="1">
        <v>195018761286</v>
      </c>
    </row>
    <row r="1051" spans="1:1" x14ac:dyDescent="0.25">
      <c r="A1051" s="1">
        <v>195018761439</v>
      </c>
    </row>
    <row r="1052" spans="1:1" x14ac:dyDescent="0.25">
      <c r="A1052" s="1">
        <v>195018761293</v>
      </c>
    </row>
    <row r="1053" spans="1:1" x14ac:dyDescent="0.25">
      <c r="A1053" s="1">
        <v>195018761446</v>
      </c>
    </row>
    <row r="1054" spans="1:1" x14ac:dyDescent="0.25">
      <c r="A1054" s="1">
        <v>195018761309</v>
      </c>
    </row>
    <row r="1055" spans="1:1" x14ac:dyDescent="0.25">
      <c r="A1055" s="1">
        <v>195018761453</v>
      </c>
    </row>
    <row r="1056" spans="1:1" x14ac:dyDescent="0.25">
      <c r="A1056" s="1">
        <v>195018761316</v>
      </c>
    </row>
    <row r="1057" spans="1:1" x14ac:dyDescent="0.25">
      <c r="A1057" s="1">
        <v>195018761460</v>
      </c>
    </row>
    <row r="1058" spans="1:1" x14ac:dyDescent="0.25">
      <c r="A1058" s="1">
        <v>195018761323</v>
      </c>
    </row>
    <row r="1059" spans="1:1" x14ac:dyDescent="0.25">
      <c r="A1059" s="1">
        <v>195018780003</v>
      </c>
    </row>
    <row r="1060" spans="1:1" x14ac:dyDescent="0.25">
      <c r="A1060" s="1">
        <v>195018780041</v>
      </c>
    </row>
    <row r="1061" spans="1:1" x14ac:dyDescent="0.25">
      <c r="A1061" s="1">
        <v>195018780010</v>
      </c>
    </row>
    <row r="1062" spans="1:1" x14ac:dyDescent="0.25">
      <c r="A1062" s="1">
        <v>195018780058</v>
      </c>
    </row>
    <row r="1063" spans="1:1" x14ac:dyDescent="0.25">
      <c r="A1063" s="1">
        <v>195018780027</v>
      </c>
    </row>
    <row r="1064" spans="1:1" x14ac:dyDescent="0.25">
      <c r="A1064" s="1">
        <v>195018780065</v>
      </c>
    </row>
    <row r="1065" spans="1:1" x14ac:dyDescent="0.25">
      <c r="A1065" s="1">
        <v>195018780034</v>
      </c>
    </row>
    <row r="1066" spans="1:1" x14ac:dyDescent="0.25">
      <c r="A1066" s="1">
        <v>195018780072</v>
      </c>
    </row>
    <row r="1067" spans="1:1" x14ac:dyDescent="0.25">
      <c r="A1067" s="1">
        <v>195018761613</v>
      </c>
    </row>
    <row r="1068" spans="1:1" x14ac:dyDescent="0.25">
      <c r="A1068" s="1">
        <v>195018780089</v>
      </c>
    </row>
    <row r="1069" spans="1:1" x14ac:dyDescent="0.25">
      <c r="A1069" s="1">
        <v>195018761620</v>
      </c>
    </row>
    <row r="1070" spans="1:1" x14ac:dyDescent="0.25">
      <c r="A1070" s="1">
        <v>195018780096</v>
      </c>
    </row>
    <row r="1071" spans="1:1" x14ac:dyDescent="0.25">
      <c r="A1071" s="1">
        <v>195018761637</v>
      </c>
    </row>
    <row r="1072" spans="1:1" x14ac:dyDescent="0.25">
      <c r="A1072" s="1">
        <v>195018780102</v>
      </c>
    </row>
    <row r="1073" spans="1:1" x14ac:dyDescent="0.25">
      <c r="A1073" s="1">
        <v>195018761644</v>
      </c>
    </row>
    <row r="1074" spans="1:1" x14ac:dyDescent="0.25">
      <c r="A1074" s="1">
        <v>195018780119</v>
      </c>
    </row>
    <row r="1075" spans="1:1" x14ac:dyDescent="0.25">
      <c r="A1075" s="1">
        <v>195018761651</v>
      </c>
    </row>
    <row r="1076" spans="1:1" x14ac:dyDescent="0.25">
      <c r="A1076" s="1">
        <v>195018780126</v>
      </c>
    </row>
    <row r="1077" spans="1:1" x14ac:dyDescent="0.25">
      <c r="A1077" s="1">
        <v>195018761668</v>
      </c>
    </row>
    <row r="1078" spans="1:1" x14ac:dyDescent="0.25">
      <c r="A1078" s="1">
        <v>195018780133</v>
      </c>
    </row>
    <row r="1079" spans="1:1" x14ac:dyDescent="0.25">
      <c r="A1079" s="1">
        <v>195018761675</v>
      </c>
    </row>
    <row r="1080" spans="1:1" x14ac:dyDescent="0.25">
      <c r="A1080" s="1">
        <v>195018780140</v>
      </c>
    </row>
    <row r="1081" spans="1:1" x14ac:dyDescent="0.25">
      <c r="A1081" s="1">
        <v>195018761699</v>
      </c>
    </row>
    <row r="1082" spans="1:1" x14ac:dyDescent="0.25">
      <c r="A1082" s="1">
        <v>195018780157</v>
      </c>
    </row>
    <row r="1083" spans="1:1" x14ac:dyDescent="0.25">
      <c r="A1083" s="1">
        <v>884401001442</v>
      </c>
    </row>
    <row r="1084" spans="1:1" x14ac:dyDescent="0.25">
      <c r="A1084" s="1">
        <v>677338376093</v>
      </c>
    </row>
    <row r="1085" spans="1:1" x14ac:dyDescent="0.25">
      <c r="A1085" s="1">
        <v>194917469842</v>
      </c>
    </row>
    <row r="1086" spans="1:1" x14ac:dyDescent="0.25">
      <c r="A1086" s="1">
        <v>886129874391</v>
      </c>
    </row>
    <row r="1087" spans="1:1" x14ac:dyDescent="0.25">
      <c r="A1087" s="1">
        <v>886129874384</v>
      </c>
    </row>
    <row r="1088" spans="1:1" x14ac:dyDescent="0.25">
      <c r="A1088" s="1">
        <v>194917469859</v>
      </c>
    </row>
    <row r="1089" spans="1:1" x14ac:dyDescent="0.25">
      <c r="A1089" s="1">
        <v>883799437727</v>
      </c>
    </row>
    <row r="1090" spans="1:1" x14ac:dyDescent="0.25">
      <c r="A1090" s="1">
        <v>801100855572</v>
      </c>
    </row>
    <row r="1091" spans="1:1" x14ac:dyDescent="0.25">
      <c r="A1091" s="1">
        <v>773984905882</v>
      </c>
    </row>
    <row r="1092" spans="1:1" x14ac:dyDescent="0.25">
      <c r="A1092" s="1">
        <v>195020757062</v>
      </c>
    </row>
    <row r="1093" spans="1:1" x14ac:dyDescent="0.25">
      <c r="A1093" s="1">
        <v>46118796800</v>
      </c>
    </row>
    <row r="1094" spans="1:1" x14ac:dyDescent="0.25">
      <c r="A1094" s="1">
        <v>46118796794</v>
      </c>
    </row>
    <row r="1095" spans="1:1" x14ac:dyDescent="0.25">
      <c r="A1095" s="1">
        <v>46118796817</v>
      </c>
    </row>
    <row r="1096" spans="1:1" x14ac:dyDescent="0.25">
      <c r="A1096" s="1">
        <v>773984126607</v>
      </c>
    </row>
    <row r="1097" spans="1:1" x14ac:dyDescent="0.25">
      <c r="A1097" s="1">
        <v>773984126591</v>
      </c>
    </row>
    <row r="1098" spans="1:1" x14ac:dyDescent="0.25">
      <c r="A1098" s="1">
        <v>773984126614</v>
      </c>
    </row>
    <row r="1099" spans="1:1" x14ac:dyDescent="0.25">
      <c r="A1099" s="1">
        <v>195020757079</v>
      </c>
    </row>
    <row r="1100" spans="1:1" x14ac:dyDescent="0.25">
      <c r="A1100" s="1">
        <v>46118797647</v>
      </c>
    </row>
    <row r="1101" spans="1:1" x14ac:dyDescent="0.25">
      <c r="A1101" s="1">
        <v>46118797630</v>
      </c>
    </row>
    <row r="1102" spans="1:1" x14ac:dyDescent="0.25">
      <c r="A1102" s="1">
        <v>46118797654</v>
      </c>
    </row>
    <row r="1103" spans="1:1" x14ac:dyDescent="0.25">
      <c r="A1103" s="1">
        <v>195020757086</v>
      </c>
    </row>
    <row r="1104" spans="1:1" x14ac:dyDescent="0.25">
      <c r="A1104" s="1">
        <v>46118256618</v>
      </c>
    </row>
    <row r="1105" spans="1:1" x14ac:dyDescent="0.25">
      <c r="A1105" s="1">
        <v>773984715214</v>
      </c>
    </row>
    <row r="1106" spans="1:1" x14ac:dyDescent="0.25">
      <c r="A1106" s="1">
        <v>195020757093</v>
      </c>
    </row>
    <row r="1107" spans="1:1" x14ac:dyDescent="0.25">
      <c r="A1107" s="1">
        <v>195021468905</v>
      </c>
    </row>
    <row r="1108" spans="1:1" x14ac:dyDescent="0.25">
      <c r="A1108" s="1">
        <v>98681805946</v>
      </c>
    </row>
    <row r="1109" spans="1:1" x14ac:dyDescent="0.25">
      <c r="A1109" s="1">
        <v>98681805939</v>
      </c>
    </row>
    <row r="1110" spans="1:1" x14ac:dyDescent="0.25">
      <c r="A1110" s="1">
        <v>195021468912</v>
      </c>
    </row>
    <row r="1111" spans="1:1" x14ac:dyDescent="0.25">
      <c r="A1111" s="1">
        <v>195020758403</v>
      </c>
    </row>
    <row r="1112" spans="1:1" x14ac:dyDescent="0.25">
      <c r="A1112" s="1">
        <v>98681805960</v>
      </c>
    </row>
    <row r="1113" spans="1:1" x14ac:dyDescent="0.25">
      <c r="A1113" s="1">
        <v>98681805953</v>
      </c>
    </row>
    <row r="1114" spans="1:1" x14ac:dyDescent="0.25">
      <c r="A1114" s="1">
        <v>195020758410</v>
      </c>
    </row>
    <row r="1115" spans="1:1" x14ac:dyDescent="0.25">
      <c r="A1115" s="1">
        <v>98681653684</v>
      </c>
    </row>
    <row r="1116" spans="1:1" x14ac:dyDescent="0.25">
      <c r="A1116" s="1">
        <v>98681653950</v>
      </c>
    </row>
    <row r="1117" spans="1:1" x14ac:dyDescent="0.25">
      <c r="A1117" s="1">
        <v>98681653691</v>
      </c>
    </row>
    <row r="1118" spans="1:1" x14ac:dyDescent="0.25">
      <c r="A1118" s="1">
        <v>98681653967</v>
      </c>
    </row>
    <row r="1119" spans="1:1" x14ac:dyDescent="0.25">
      <c r="A1119" s="1">
        <v>98681653707</v>
      </c>
    </row>
    <row r="1120" spans="1:1" x14ac:dyDescent="0.25">
      <c r="A1120" s="1">
        <v>98681653974</v>
      </c>
    </row>
    <row r="1121" spans="1:1" x14ac:dyDescent="0.25">
      <c r="A1121" s="1">
        <v>98681653714</v>
      </c>
    </row>
    <row r="1122" spans="1:1" x14ac:dyDescent="0.25">
      <c r="A1122" s="1">
        <v>98681653981</v>
      </c>
    </row>
    <row r="1123" spans="1:1" x14ac:dyDescent="0.25">
      <c r="A1123" s="1">
        <v>98681653721</v>
      </c>
    </row>
    <row r="1124" spans="1:1" x14ac:dyDescent="0.25">
      <c r="A1124" s="1">
        <v>98681653998</v>
      </c>
    </row>
    <row r="1125" spans="1:1" x14ac:dyDescent="0.25">
      <c r="A1125" s="1">
        <v>98681653738</v>
      </c>
    </row>
    <row r="1126" spans="1:1" x14ac:dyDescent="0.25">
      <c r="A1126" s="1">
        <v>98681654001</v>
      </c>
    </row>
    <row r="1127" spans="1:1" x14ac:dyDescent="0.25">
      <c r="A1127" s="1">
        <v>98681653745</v>
      </c>
    </row>
    <row r="1128" spans="1:1" x14ac:dyDescent="0.25">
      <c r="A1128" s="1">
        <v>98681654018</v>
      </c>
    </row>
    <row r="1129" spans="1:1" x14ac:dyDescent="0.25">
      <c r="A1129" s="1">
        <v>98681653752</v>
      </c>
    </row>
    <row r="1130" spans="1:1" x14ac:dyDescent="0.25">
      <c r="A1130" s="1">
        <v>98681654025</v>
      </c>
    </row>
    <row r="1131" spans="1:1" x14ac:dyDescent="0.25">
      <c r="A1131" s="1">
        <v>98681653769</v>
      </c>
    </row>
    <row r="1132" spans="1:1" x14ac:dyDescent="0.25">
      <c r="A1132" s="1">
        <v>98681654032</v>
      </c>
    </row>
    <row r="1133" spans="1:1" x14ac:dyDescent="0.25">
      <c r="A1133" s="1">
        <v>98681653776</v>
      </c>
    </row>
    <row r="1134" spans="1:1" x14ac:dyDescent="0.25">
      <c r="A1134" s="1">
        <v>98681654049</v>
      </c>
    </row>
    <row r="1135" spans="1:1" x14ac:dyDescent="0.25">
      <c r="A1135" s="1">
        <v>98681653783</v>
      </c>
    </row>
    <row r="1136" spans="1:1" x14ac:dyDescent="0.25">
      <c r="A1136" s="1">
        <v>98681654056</v>
      </c>
    </row>
    <row r="1137" spans="1:1" x14ac:dyDescent="0.25">
      <c r="A1137" s="1">
        <v>98681653905</v>
      </c>
    </row>
    <row r="1138" spans="1:1" x14ac:dyDescent="0.25">
      <c r="A1138" s="1">
        <v>98681654063</v>
      </c>
    </row>
    <row r="1139" spans="1:1" x14ac:dyDescent="0.25">
      <c r="A1139" s="1">
        <v>98681653929</v>
      </c>
    </row>
    <row r="1140" spans="1:1" x14ac:dyDescent="0.25">
      <c r="A1140" s="1">
        <v>98681654070</v>
      </c>
    </row>
    <row r="1141" spans="1:1" x14ac:dyDescent="0.25">
      <c r="A1141" s="1">
        <v>98681653943</v>
      </c>
    </row>
    <row r="1142" spans="1:1" x14ac:dyDescent="0.25">
      <c r="A1142" s="1">
        <v>635841381584</v>
      </c>
    </row>
    <row r="1143" spans="1:1" x14ac:dyDescent="0.25">
      <c r="A1143" s="1">
        <v>635841381560</v>
      </c>
    </row>
    <row r="1144" spans="1:1" x14ac:dyDescent="0.25">
      <c r="A1144" s="1">
        <v>773040175228</v>
      </c>
    </row>
    <row r="1145" spans="1:1" x14ac:dyDescent="0.25">
      <c r="A1145" s="1">
        <v>773040175235</v>
      </c>
    </row>
    <row r="1146" spans="1:1" x14ac:dyDescent="0.25">
      <c r="A1146" s="1">
        <v>773040175242</v>
      </c>
    </row>
    <row r="1147" spans="1:1" x14ac:dyDescent="0.25">
      <c r="A1147" s="1">
        <v>773040175259</v>
      </c>
    </row>
    <row r="1148" spans="1:1" x14ac:dyDescent="0.25">
      <c r="A1148" s="1">
        <v>773040175266</v>
      </c>
    </row>
    <row r="1149" spans="1:1" x14ac:dyDescent="0.25">
      <c r="A1149" s="1">
        <v>773040175273</v>
      </c>
    </row>
    <row r="1150" spans="1:1" x14ac:dyDescent="0.25">
      <c r="A1150" s="1">
        <v>98681654254</v>
      </c>
    </row>
    <row r="1151" spans="1:1" x14ac:dyDescent="0.25">
      <c r="A1151" s="1">
        <v>98681654506</v>
      </c>
    </row>
    <row r="1152" spans="1:1" x14ac:dyDescent="0.25">
      <c r="A1152" s="1">
        <v>98681654261</v>
      </c>
    </row>
    <row r="1153" spans="1:1" x14ac:dyDescent="0.25">
      <c r="A1153" s="1">
        <v>98681654520</v>
      </c>
    </row>
    <row r="1154" spans="1:1" x14ac:dyDescent="0.25">
      <c r="A1154" s="1">
        <v>98681654278</v>
      </c>
    </row>
    <row r="1155" spans="1:1" x14ac:dyDescent="0.25">
      <c r="A1155" s="1">
        <v>98681654544</v>
      </c>
    </row>
    <row r="1156" spans="1:1" x14ac:dyDescent="0.25">
      <c r="A1156" s="1">
        <v>98681654285</v>
      </c>
    </row>
    <row r="1157" spans="1:1" x14ac:dyDescent="0.25">
      <c r="A1157" s="1">
        <v>98681654551</v>
      </c>
    </row>
    <row r="1158" spans="1:1" x14ac:dyDescent="0.25">
      <c r="A1158" s="1">
        <v>98681654292</v>
      </c>
    </row>
    <row r="1159" spans="1:1" x14ac:dyDescent="0.25">
      <c r="A1159" s="1">
        <v>98681654568</v>
      </c>
    </row>
    <row r="1160" spans="1:1" x14ac:dyDescent="0.25">
      <c r="A1160" s="1">
        <v>98681654308</v>
      </c>
    </row>
    <row r="1161" spans="1:1" x14ac:dyDescent="0.25">
      <c r="A1161" s="1">
        <v>98681654575</v>
      </c>
    </row>
    <row r="1162" spans="1:1" x14ac:dyDescent="0.25">
      <c r="A1162" s="1">
        <v>98681654315</v>
      </c>
    </row>
    <row r="1163" spans="1:1" x14ac:dyDescent="0.25">
      <c r="A1163" s="1">
        <v>98681654582</v>
      </c>
    </row>
    <row r="1164" spans="1:1" x14ac:dyDescent="0.25">
      <c r="A1164" s="1">
        <v>98681654322</v>
      </c>
    </row>
    <row r="1165" spans="1:1" x14ac:dyDescent="0.25">
      <c r="A1165" s="1">
        <v>98681654599</v>
      </c>
    </row>
    <row r="1166" spans="1:1" x14ac:dyDescent="0.25">
      <c r="A1166" s="1">
        <v>98681654339</v>
      </c>
    </row>
    <row r="1167" spans="1:1" x14ac:dyDescent="0.25">
      <c r="A1167" s="1">
        <v>98681654605</v>
      </c>
    </row>
    <row r="1168" spans="1:1" x14ac:dyDescent="0.25">
      <c r="A1168" s="1">
        <v>98681654346</v>
      </c>
    </row>
    <row r="1169" spans="1:1" x14ac:dyDescent="0.25">
      <c r="A1169" s="1">
        <v>98681654612</v>
      </c>
    </row>
    <row r="1170" spans="1:1" x14ac:dyDescent="0.25">
      <c r="A1170" s="1">
        <v>98681654353</v>
      </c>
    </row>
    <row r="1171" spans="1:1" x14ac:dyDescent="0.25">
      <c r="A1171" s="1">
        <v>98681654629</v>
      </c>
    </row>
    <row r="1172" spans="1:1" x14ac:dyDescent="0.25">
      <c r="A1172" s="1">
        <v>98681654360</v>
      </c>
    </row>
    <row r="1173" spans="1:1" x14ac:dyDescent="0.25">
      <c r="A1173" s="1">
        <v>98681654636</v>
      </c>
    </row>
    <row r="1174" spans="1:1" x14ac:dyDescent="0.25">
      <c r="A1174" s="1">
        <v>98681654377</v>
      </c>
    </row>
    <row r="1175" spans="1:1" x14ac:dyDescent="0.25">
      <c r="A1175" s="1">
        <v>98681654643</v>
      </c>
    </row>
    <row r="1176" spans="1:1" x14ac:dyDescent="0.25">
      <c r="A1176" s="1">
        <v>98681654384</v>
      </c>
    </row>
    <row r="1177" spans="1:1" x14ac:dyDescent="0.25">
      <c r="A1177" s="1">
        <v>635841381553</v>
      </c>
    </row>
    <row r="1178" spans="1:1" x14ac:dyDescent="0.25">
      <c r="A1178" s="1">
        <v>635841381539</v>
      </c>
    </row>
    <row r="1179" spans="1:1" x14ac:dyDescent="0.25">
      <c r="A1179" s="1">
        <v>635841381546</v>
      </c>
    </row>
    <row r="1180" spans="1:1" x14ac:dyDescent="0.25">
      <c r="A1180" s="1">
        <v>98681653516</v>
      </c>
    </row>
    <row r="1181" spans="1:1" x14ac:dyDescent="0.25">
      <c r="A1181" s="1">
        <v>98771367651</v>
      </c>
    </row>
    <row r="1182" spans="1:1" x14ac:dyDescent="0.25">
      <c r="A1182" s="1">
        <v>98681653523</v>
      </c>
    </row>
    <row r="1183" spans="1:1" x14ac:dyDescent="0.25">
      <c r="A1183" s="1">
        <v>98771367668</v>
      </c>
    </row>
    <row r="1184" spans="1:1" x14ac:dyDescent="0.25">
      <c r="A1184" s="1">
        <v>98681653530</v>
      </c>
    </row>
    <row r="1185" spans="1:1" x14ac:dyDescent="0.25">
      <c r="A1185" s="1">
        <v>98771367675</v>
      </c>
    </row>
    <row r="1186" spans="1:1" x14ac:dyDescent="0.25">
      <c r="A1186" s="1">
        <v>98681653547</v>
      </c>
    </row>
    <row r="1187" spans="1:1" x14ac:dyDescent="0.25">
      <c r="A1187" s="1">
        <v>98771367682</v>
      </c>
    </row>
    <row r="1188" spans="1:1" x14ac:dyDescent="0.25">
      <c r="A1188" s="1">
        <v>98681653554</v>
      </c>
    </row>
    <row r="1189" spans="1:1" x14ac:dyDescent="0.25">
      <c r="A1189" s="1">
        <v>98771367699</v>
      </c>
    </row>
    <row r="1190" spans="1:1" x14ac:dyDescent="0.25">
      <c r="A1190" s="1">
        <v>98681653561</v>
      </c>
    </row>
    <row r="1191" spans="1:1" x14ac:dyDescent="0.25">
      <c r="A1191" s="1">
        <v>98771367705</v>
      </c>
    </row>
    <row r="1192" spans="1:1" x14ac:dyDescent="0.25">
      <c r="A1192" s="1">
        <v>98681653578</v>
      </c>
    </row>
    <row r="1193" spans="1:1" x14ac:dyDescent="0.25">
      <c r="A1193" s="1">
        <v>98771367712</v>
      </c>
    </row>
    <row r="1194" spans="1:1" x14ac:dyDescent="0.25">
      <c r="A1194" s="1">
        <v>98681653585</v>
      </c>
    </row>
    <row r="1195" spans="1:1" x14ac:dyDescent="0.25">
      <c r="A1195" s="1">
        <v>98771367729</v>
      </c>
    </row>
    <row r="1196" spans="1:1" x14ac:dyDescent="0.25">
      <c r="A1196" s="1">
        <v>98681653592</v>
      </c>
    </row>
    <row r="1197" spans="1:1" x14ac:dyDescent="0.25">
      <c r="A1197" s="1">
        <v>98771367736</v>
      </c>
    </row>
    <row r="1198" spans="1:1" x14ac:dyDescent="0.25">
      <c r="A1198" s="1">
        <v>98681653608</v>
      </c>
    </row>
    <row r="1199" spans="1:1" x14ac:dyDescent="0.25">
      <c r="A1199" s="1">
        <v>98771367743</v>
      </c>
    </row>
    <row r="1200" spans="1:1" x14ac:dyDescent="0.25">
      <c r="A1200" s="1">
        <v>98681653615</v>
      </c>
    </row>
    <row r="1201" spans="1:1" x14ac:dyDescent="0.25">
      <c r="A1201" s="1">
        <v>98771367750</v>
      </c>
    </row>
    <row r="1202" spans="1:1" x14ac:dyDescent="0.25">
      <c r="A1202" s="1">
        <v>98681653622</v>
      </c>
    </row>
    <row r="1203" spans="1:1" x14ac:dyDescent="0.25">
      <c r="A1203" s="1">
        <v>98771367767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A1D87CE393404794F383DD3E3FD855" ma:contentTypeVersion="18" ma:contentTypeDescription="Create a new document." ma:contentTypeScope="" ma:versionID="8a96eb424f30ba5e6a94667b9dade70e">
  <xsd:schema xmlns:xsd="http://www.w3.org/2001/XMLSchema" xmlns:xs="http://www.w3.org/2001/XMLSchema" xmlns:p="http://schemas.microsoft.com/office/2006/metadata/properties" xmlns:ns2="e79e2b0d-e0cd-4eb9-8ba4-98619e6d5a4a" xmlns:ns3="f07142d6-ba2f-4bdf-b0e5-5a78f44e9d8c" targetNamespace="http://schemas.microsoft.com/office/2006/metadata/properties" ma:root="true" ma:fieldsID="5c2c2e56b583aa1697f50cc93d05edba" ns2:_="" ns3:_="">
    <xsd:import namespace="e79e2b0d-e0cd-4eb9-8ba4-98619e6d5a4a"/>
    <xsd:import namespace="f07142d6-ba2f-4bdf-b0e5-5a78f44e9d8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9e2b0d-e0cd-4eb9-8ba4-98619e6d5a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7e669e7-ab4f-4974-a3b8-e444619a4b0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7142d6-ba2f-4bdf-b0e5-5a78f44e9d8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b841d5d-8ef1-47ca-acf0-f69b0bf3f079}" ma:internalName="TaxCatchAll" ma:showField="CatchAllData" ma:web="f07142d6-ba2f-4bdf-b0e5-5a78f44e9d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9e2b0d-e0cd-4eb9-8ba4-98619e6d5a4a">
      <Terms xmlns="http://schemas.microsoft.com/office/infopath/2007/PartnerControls"/>
    </lcf76f155ced4ddcb4097134ff3c332f>
    <TaxCatchAll xmlns="f07142d6-ba2f-4bdf-b0e5-5a78f44e9d8c" xsi:nil="true"/>
  </documentManagement>
</p:properties>
</file>

<file path=customXml/itemProps1.xml><?xml version="1.0" encoding="utf-8"?>
<ds:datastoreItem xmlns:ds="http://schemas.openxmlformats.org/officeDocument/2006/customXml" ds:itemID="{D64EFDB8-6F85-4FE3-9CE3-D6C962EEAD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9e2b0d-e0cd-4eb9-8ba4-98619e6d5a4a"/>
    <ds:schemaRef ds:uri="f07142d6-ba2f-4bdf-b0e5-5a78f44e9d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8D6436-ECD7-4ABE-97B8-806E34729DFB}">
  <ds:schemaRefs>
    <ds:schemaRef ds:uri="http://schemas.microsoft.com/sharepoint/v3/contenttype/forms"/>
  </ds:schemaRefs>
</ds:datastoreItem>
</file>

<file path=customXml/itemProps3.xml><?xml version="1.0" encoding="utf-8"?>
<ds:datastoreItem xmlns:ds="http://schemas.openxmlformats.org/officeDocument/2006/customXml" ds:itemID="{FA218171-20CC-42D8-B178-9C3469A7562F}">
  <ds:schemaRefs>
    <ds:schemaRef ds:uri="http://schemas.microsoft.com/office/2006/metadata/properties"/>
    <ds:schemaRef ds:uri="http://schemas.microsoft.com/office/infopath/2007/PartnerControls"/>
    <ds:schemaRef ds:uri="e79e2b0d-e0cd-4eb9-8ba4-98619e6d5a4a"/>
    <ds:schemaRef ds:uri="f07142d6-ba2f-4bdf-b0e5-5a78f44e9d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Aayush Bhandary</dc:creator>
  <cp:keywords/>
  <dc:description/>
  <cp:lastModifiedBy>Babak Eshkoor</cp:lastModifiedBy>
  <cp:revision/>
  <dcterms:created xsi:type="dcterms:W3CDTF">2025-10-15T16:09:41Z</dcterms:created>
  <dcterms:modified xsi:type="dcterms:W3CDTF">2025-12-17T14:19:56Z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0x0101000FA1D87CE393404794F383DD3E3FD855</vt:lpwstr>
  </property>
  <property fmtid="{D5CDD505-2E9C-101B-9397-08002B2CF9AE}" pid="3" name="MediaServiceImageTags">
    <vt:lpwstr/>
  </property>
</Properties>
</file>